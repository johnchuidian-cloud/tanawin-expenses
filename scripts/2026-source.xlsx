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January" sheetId="1" r:id="rId1" state="hidden"/>
    <sheet name="February" sheetId="2" r:id="rId2"/>
    <sheet name="March" sheetId="3" r:id="rId3"/>
    <sheet name="April" sheetId="4" r:id="rId4"/>
    <sheet name="May.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-* #,##0.0_-;\-* #,##0.0_-;_-* &quot;-&quot;??_-;_-@"/>
    <numFmt numFmtId="165" formatCode="_-* #,##0.00_-;\-* #,##0.00_-;_-* &quot;-&quot;??_-;_-@"/>
    <numFmt numFmtId="166" formatCode="mm/dd/yyyy"/>
    <numFmt numFmtId="167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07"/>
  <sheetViews>
    <sheetView workbookViewId="0" rightToLeft="0"/>
  </sheetViews>
  <sheetData>
    <row r="1">
      <c r="A1" t="str">
        <v xml:space="preserve">    </v>
      </c>
    </row>
    <row r="2">
      <c r="E2">
        <f>SUM(E4:E1206)</f>
        <v>238010.39</v>
      </c>
      <c r="K2">
        <f>SUM(K4:K31)</f>
        <v>238010.39</v>
      </c>
    </row>
    <row r="3">
      <c r="B3" t="str">
        <v>date</v>
      </c>
      <c r="C3" t="str">
        <v>unit price</v>
      </c>
      <c r="D3" t="str">
        <v>qtty</v>
      </c>
      <c r="E3" t="str">
        <v>total</v>
      </c>
      <c r="H3" t="str">
        <v>anomalies</v>
      </c>
      <c r="I3" t="str">
        <v xml:space="preserve">   </v>
      </c>
      <c r="J3" t="str">
        <v>category</v>
      </c>
      <c r="K3" t="str">
        <v>amount</v>
      </c>
      <c r="M3" t="str">
        <v>ave daily</v>
      </c>
    </row>
    <row r="4">
      <c r="B4">
        <v>46023</v>
      </c>
      <c r="C4">
        <v>400</v>
      </c>
      <c r="D4">
        <v>1</v>
      </c>
      <c r="E4">
        <f>C4*D4</f>
        <v>400</v>
      </c>
      <c r="F4" t="str">
        <v>Palengke: Melon</v>
      </c>
      <c r="G4" t="str">
        <v>breakfast</v>
      </c>
      <c r="I4">
        <v>1</v>
      </c>
      <c r="J4" t="str">
        <v>admin</v>
      </c>
      <c r="K4">
        <f>SUMIF($G:G,J4,$E:E)</f>
        <v>4817.02</v>
      </c>
      <c r="L4">
        <f>K4/$K$2</f>
        <v>0.0202386963</v>
      </c>
      <c r="M4">
        <f>K4/31</f>
        <v>155.3877419</v>
      </c>
    </row>
    <row r="5">
      <c r="B5">
        <v>46023</v>
      </c>
      <c r="C5">
        <v>300</v>
      </c>
      <c r="D5">
        <v>1</v>
      </c>
      <c r="E5">
        <f>C5*D5</f>
        <v>300</v>
      </c>
      <c r="F5" t="str">
        <v>Dionys Pandesal</v>
      </c>
      <c r="G5" t="str">
        <v>breakfast</v>
      </c>
      <c r="I5">
        <v>2</v>
      </c>
      <c r="J5" t="str">
        <v>breakfast</v>
      </c>
      <c r="K5">
        <f>SUMIF($G:G,J5,$E:E)</f>
        <v>73677.35</v>
      </c>
      <c r="L5">
        <f>K5/$K$2</f>
        <v>0.3095551837</v>
      </c>
      <c r="M5">
        <f>K5/31</f>
        <v>2376.68871</v>
      </c>
    </row>
    <row r="6">
      <c r="B6">
        <v>46024</v>
      </c>
      <c r="C6">
        <f>240/2</f>
        <v>120</v>
      </c>
      <c r="D6">
        <v>2</v>
      </c>
      <c r="E6">
        <f>C6*D6</f>
        <v>240</v>
      </c>
      <c r="F6" t="str">
        <v>Joy Sari-Sari Store: Coffee Mate</v>
      </c>
      <c r="G6" t="str">
        <v>breakfast</v>
      </c>
      <c r="I6">
        <v>3</v>
      </c>
      <c r="J6" t="str">
        <v>cellphone</v>
      </c>
      <c r="K6">
        <f>SUMIF($G:G,J6,$E:E)</f>
        <v>0</v>
      </c>
      <c r="L6">
        <f>K6/$K$2</f>
        <v>0</v>
      </c>
      <c r="M6">
        <f>K6/31</f>
        <v>0</v>
      </c>
    </row>
    <row r="7">
      <c r="B7">
        <v>46024</v>
      </c>
      <c r="C7">
        <v>115</v>
      </c>
      <c r="D7">
        <v>2</v>
      </c>
      <c r="E7">
        <f>C7*D7</f>
        <v>230</v>
      </c>
      <c r="F7" t="str">
        <v>Joy Sari-Sari Store:Fresh milk</v>
      </c>
      <c r="G7" t="str">
        <v>breakfast</v>
      </c>
      <c r="I7">
        <v>4</v>
      </c>
      <c r="J7" t="str">
        <v>cleaning</v>
      </c>
      <c r="K7">
        <f>SUMIF($G:G,J7,$E:E)</f>
        <v>33648.47</v>
      </c>
      <c r="L7">
        <f>K7/$K$2</f>
        <v>0.1413739543</v>
      </c>
      <c r="M7">
        <f>K7/31</f>
        <v>1085.434516</v>
      </c>
    </row>
    <row r="8">
      <c r="B8">
        <v>46024</v>
      </c>
      <c r="C8">
        <v>132</v>
      </c>
      <c r="D8">
        <v>1</v>
      </c>
      <c r="E8">
        <f>C8*D8</f>
        <v>132</v>
      </c>
      <c r="F8" t="str">
        <v>Joy Sari-Sari Store:Tuyo</v>
      </c>
      <c r="G8" t="str">
        <v>breakfast</v>
      </c>
      <c r="I8">
        <v>5</v>
      </c>
      <c r="J8" t="str">
        <v>coffee</v>
      </c>
      <c r="K8">
        <f>SUMIF($G:G,J8,$E:E)</f>
        <v>1005</v>
      </c>
      <c r="L8">
        <f>K8/$K$2</f>
        <v>0.00422250474</v>
      </c>
      <c r="M8">
        <f>K8/31</f>
        <v>32.41935484</v>
      </c>
    </row>
    <row r="9">
      <c r="B9">
        <v>46024</v>
      </c>
      <c r="C9">
        <v>220</v>
      </c>
      <c r="D9">
        <v>2</v>
      </c>
      <c r="E9">
        <f>C9*D9</f>
        <v>440</v>
      </c>
      <c r="F9" t="str">
        <v>Joy Sari-Sari Store: Hotdog</v>
      </c>
      <c r="G9" t="str">
        <v>breakfast</v>
      </c>
      <c r="I9">
        <v>6</v>
      </c>
      <c r="J9" t="str">
        <v>compliance</v>
      </c>
      <c r="K9">
        <f>SUMIF($G:G,J9,$E:E)</f>
        <v>5700</v>
      </c>
      <c r="L9">
        <f>K9/$K$2</f>
        <v>0.02394853435</v>
      </c>
      <c r="M9">
        <f>K9/31</f>
        <v>183.8709677</v>
      </c>
    </row>
    <row r="10">
      <c r="B10">
        <v>46024</v>
      </c>
      <c r="C10">
        <v>120</v>
      </c>
      <c r="D10">
        <v>1</v>
      </c>
      <c r="E10">
        <f>C10*D10</f>
        <v>120</v>
      </c>
      <c r="F10" t="str">
        <v xml:space="preserve"> Joy Sari-Sari Store: Okra</v>
      </c>
      <c r="G10" t="str">
        <v>breakfast</v>
      </c>
      <c r="I10">
        <v>7</v>
      </c>
      <c r="J10" t="str">
        <v>donation</v>
      </c>
      <c r="K10">
        <f>SUMIF($G:G,J10,$E:E)</f>
        <v>0</v>
      </c>
      <c r="L10">
        <f>K10/$K$2</f>
        <v>0</v>
      </c>
      <c r="M10">
        <f>K10/31</f>
        <v>0</v>
      </c>
    </row>
    <row r="11">
      <c r="B11">
        <v>46024</v>
      </c>
      <c r="C11">
        <v>550</v>
      </c>
      <c r="D11">
        <v>1</v>
      </c>
      <c r="E11">
        <f>C11*D11</f>
        <v>550</v>
      </c>
      <c r="F11" t="str">
        <v>Joy Sari-Sari Store:Lakatan</v>
      </c>
      <c r="G11" t="str">
        <v>breakfast</v>
      </c>
      <c r="I11">
        <v>8</v>
      </c>
      <c r="J11" t="str">
        <v>electricity</v>
      </c>
      <c r="K11">
        <f>SUMIF($G:G,J11,$E:E)</f>
        <v>63017.5</v>
      </c>
      <c r="L11">
        <f>K11/$K$2</f>
        <v>0.2647678532</v>
      </c>
      <c r="M11">
        <f>K11/31</f>
        <v>2032.822581</v>
      </c>
    </row>
    <row r="12">
      <c r="B12">
        <v>46024</v>
      </c>
      <c r="C12">
        <f>360/2</f>
        <v>180</v>
      </c>
      <c r="D12">
        <v>2</v>
      </c>
      <c r="E12">
        <f>C12*D12</f>
        <v>360</v>
      </c>
      <c r="F12" t="str">
        <v>Joy Sari-Sari Store:Kamatis</v>
      </c>
      <c r="G12" t="str">
        <v>breakfast</v>
      </c>
      <c r="I12">
        <v>9</v>
      </c>
      <c r="J12" t="str">
        <v>extra staff</v>
      </c>
      <c r="K12">
        <f>SUMIF($G:G,J12,$E:E)</f>
        <v>0</v>
      </c>
      <c r="L12">
        <f>K12/$K$2</f>
        <v>0</v>
      </c>
      <c r="M12">
        <f>K12/31</f>
        <v>0</v>
      </c>
    </row>
    <row r="13">
      <c r="B13">
        <v>46024</v>
      </c>
      <c r="C13">
        <v>700</v>
      </c>
      <c r="D13">
        <v>1</v>
      </c>
      <c r="E13">
        <f>C13*D13</f>
        <v>700</v>
      </c>
      <c r="F13" t="str">
        <v>Joy Sari-Sari Store:Bangus</v>
      </c>
      <c r="G13" t="str">
        <v>lunch/dinner</v>
      </c>
      <c r="I13">
        <v>10</v>
      </c>
      <c r="J13" t="str">
        <v>garden</v>
      </c>
      <c r="K13">
        <f>SUMIF($G:G,J13,$E:E)</f>
        <v>2000</v>
      </c>
      <c r="L13">
        <f>K13/$K$2</f>
        <v>0.008402994508</v>
      </c>
      <c r="M13">
        <f>K13/31</f>
        <v>64.51612903</v>
      </c>
    </row>
    <row r="14">
      <c r="B14">
        <v>46024</v>
      </c>
      <c r="C14">
        <v>500</v>
      </c>
      <c r="D14">
        <v>4</v>
      </c>
      <c r="E14">
        <f>C14*D14</f>
        <v>2000</v>
      </c>
      <c r="F14" t="str">
        <v>Palengke: Salmon</v>
      </c>
      <c r="G14" t="str">
        <v>lunch/dinner</v>
      </c>
      <c r="I14">
        <v>11</v>
      </c>
      <c r="J14" t="str">
        <v>genset</v>
      </c>
      <c r="K14">
        <f>SUMIF($G:G,J14,$E:E)</f>
        <v>5000.55</v>
      </c>
      <c r="L14">
        <f>K14/$K$2</f>
        <v>0.02100979709</v>
      </c>
      <c r="M14">
        <f>K14/31</f>
        <v>161.3080645</v>
      </c>
    </row>
    <row r="15">
      <c r="B15">
        <v>46024</v>
      </c>
      <c r="C15">
        <f>2400/4</f>
        <v>600</v>
      </c>
      <c r="D15">
        <v>4</v>
      </c>
      <c r="E15">
        <f>C15*D15</f>
        <v>2400</v>
      </c>
      <c r="F15" t="str">
        <v>Palengke:Pusit</v>
      </c>
      <c r="G15" t="str">
        <v>lunch/dinner</v>
      </c>
      <c r="I15">
        <v>12</v>
      </c>
      <c r="J15" t="str">
        <v>horse</v>
      </c>
      <c r="K15">
        <f>SUMIF($G:G,J15,$E:E)</f>
        <v>0</v>
      </c>
      <c r="L15">
        <f>K15/$K$2</f>
        <v>0</v>
      </c>
      <c r="M15">
        <f>K15/31</f>
        <v>0</v>
      </c>
    </row>
    <row r="16">
      <c r="B16">
        <v>46024</v>
      </c>
      <c r="C16">
        <v>2720</v>
      </c>
      <c r="D16">
        <v>1</v>
      </c>
      <c r="E16">
        <f>C16*D16</f>
        <v>2720</v>
      </c>
      <c r="F16" t="str">
        <v>Palengke:Manok/Atay</v>
      </c>
      <c r="G16" t="str">
        <v>lunch/dinner</v>
      </c>
      <c r="I16">
        <v>13</v>
      </c>
      <c r="J16" t="str">
        <v>internet</v>
      </c>
      <c r="K16">
        <f>SUMIF($G:G,J16,$E:E)</f>
        <v>3800</v>
      </c>
      <c r="L16">
        <f>K16/$K$2</f>
        <v>0.01596568957</v>
      </c>
      <c r="M16">
        <f>K16/31</f>
        <v>122.5806452</v>
      </c>
    </row>
    <row r="17">
      <c r="B17">
        <v>46024</v>
      </c>
      <c r="C17">
        <v>500</v>
      </c>
      <c r="D17">
        <v>2</v>
      </c>
      <c r="E17">
        <f>C17*D17</f>
        <v>1000</v>
      </c>
      <c r="F17" t="str">
        <v>Palengke:Hipon</v>
      </c>
      <c r="G17" t="str">
        <v>lunch/dinner</v>
      </c>
      <c r="I17">
        <v>14</v>
      </c>
      <c r="J17" t="str">
        <v>kitchen</v>
      </c>
      <c r="K17">
        <f>SUMIF($G:G,J17,$E:E)</f>
        <v>3860.5</v>
      </c>
      <c r="L17">
        <f>K17/$K$2</f>
        <v>0.01621988015</v>
      </c>
      <c r="M17">
        <f>K17/31</f>
        <v>124.5322581</v>
      </c>
    </row>
    <row r="18">
      <c r="B18">
        <v>46024</v>
      </c>
      <c r="C18">
        <v>930</v>
      </c>
      <c r="D18">
        <v>1</v>
      </c>
      <c r="E18">
        <f>C18*D18</f>
        <v>930</v>
      </c>
      <c r="F18" t="str">
        <v>Palengke:Bangus</v>
      </c>
      <c r="G18" t="str">
        <v>lunch/dinner</v>
      </c>
      <c r="I18">
        <v>15</v>
      </c>
      <c r="J18" t="str">
        <v>laundry</v>
      </c>
      <c r="K18">
        <f>SUMIF($G:G,J18,$E:E)</f>
        <v>6075</v>
      </c>
      <c r="L18">
        <f>K18/$K$2</f>
        <v>0.02552409582</v>
      </c>
      <c r="M18">
        <f>K18/31</f>
        <v>195.9677419</v>
      </c>
    </row>
    <row r="19">
      <c r="B19">
        <v>46024</v>
      </c>
      <c r="C19">
        <v>2000</v>
      </c>
      <c r="D19">
        <v>1</v>
      </c>
      <c r="E19">
        <f>C19*D19</f>
        <v>2000</v>
      </c>
      <c r="F19" t="str">
        <v>Palengke:Native Chicken</v>
      </c>
      <c r="G19" t="str">
        <v>lunch/dinner</v>
      </c>
      <c r="I19">
        <v>16</v>
      </c>
      <c r="J19" t="str">
        <v>linens/towels</v>
      </c>
      <c r="K19">
        <f>SUMIF($G:G,J19,$E:E)</f>
        <v>0</v>
      </c>
      <c r="L19">
        <f>K19/$K$2</f>
        <v>0</v>
      </c>
      <c r="M19">
        <f>K19/31</f>
        <v>0</v>
      </c>
    </row>
    <row r="20">
      <c r="B20">
        <v>46024</v>
      </c>
      <c r="C20">
        <v>3349</v>
      </c>
      <c r="D20">
        <v>1</v>
      </c>
      <c r="E20">
        <f>C20*D20</f>
        <v>3349</v>
      </c>
      <c r="F20" t="str">
        <v>Palengke:Vegetables</v>
      </c>
      <c r="G20" t="str">
        <v>lunch/dinner</v>
      </c>
      <c r="I20">
        <v>17</v>
      </c>
      <c r="J20" t="str">
        <v>lunch/dinner</v>
      </c>
      <c r="K20">
        <f>SUMIF($G:G,J20,$E:E)</f>
        <v>16749</v>
      </c>
      <c r="L20">
        <f>K20/$K$2</f>
        <v>0.07037087751</v>
      </c>
      <c r="M20">
        <f>K20/31</f>
        <v>540.2903226</v>
      </c>
    </row>
    <row r="21">
      <c r="B21">
        <v>46024</v>
      </c>
      <c r="C21">
        <v>350</v>
      </c>
      <c r="D21">
        <v>1</v>
      </c>
      <c r="E21">
        <f>C21*D21</f>
        <v>350</v>
      </c>
      <c r="F21" t="str">
        <v>Dionys Pandesal</v>
      </c>
      <c r="G21" t="str">
        <v>breakfast</v>
      </c>
      <c r="I21">
        <v>18</v>
      </c>
      <c r="J21" t="str">
        <v>maintenance</v>
      </c>
      <c r="K21">
        <f>SUMIF($G:G,J21,$E:E)</f>
        <v>0</v>
      </c>
      <c r="L21">
        <f>K21/$K$2</f>
        <v>0</v>
      </c>
      <c r="M21">
        <f>K21/31</f>
        <v>0</v>
      </c>
    </row>
    <row r="22">
      <c r="B22">
        <v>46024</v>
      </c>
      <c r="C22">
        <v>3600</v>
      </c>
      <c r="D22">
        <v>1</v>
      </c>
      <c r="E22">
        <f>C22*D22</f>
        <v>3600</v>
      </c>
      <c r="F22" t="str">
        <v>Palengke:Kapak</v>
      </c>
      <c r="G22" t="str">
        <v>breakfast</v>
      </c>
      <c r="I22">
        <v>19</v>
      </c>
      <c r="J22" t="str">
        <v>meal</v>
      </c>
      <c r="K22">
        <f>SUMIF($G:G,J22,$E:E)</f>
        <v>0</v>
      </c>
      <c r="L22">
        <f>K22/$K$2</f>
        <v>0</v>
      </c>
      <c r="M22">
        <f>K22/31</f>
        <v>0</v>
      </c>
    </row>
    <row r="23">
      <c r="B23">
        <v>46024</v>
      </c>
      <c r="C23">
        <v>400</v>
      </c>
      <c r="D23">
        <v>5</v>
      </c>
      <c r="E23">
        <f>C23*D23</f>
        <v>2000</v>
      </c>
      <c r="F23" t="str">
        <v>Palengke:Tinapang Gg</v>
      </c>
      <c r="G23" t="str">
        <v>breakfast</v>
      </c>
      <c r="I23">
        <v>20</v>
      </c>
      <c r="J23" t="str">
        <v>miscellaneous</v>
      </c>
      <c r="K23">
        <f>SUMIF($G:G,J23,$E:E)</f>
        <v>7800</v>
      </c>
      <c r="L23">
        <f>K23/$K$2</f>
        <v>0.03277167858</v>
      </c>
      <c r="M23">
        <f>K23/31</f>
        <v>251.6129032</v>
      </c>
    </row>
    <row r="24">
      <c r="B24">
        <v>46024</v>
      </c>
      <c r="C24">
        <v>350</v>
      </c>
      <c r="D24">
        <v>2</v>
      </c>
      <c r="E24">
        <f>C24*D24</f>
        <v>700</v>
      </c>
      <c r="F24" t="str">
        <v>Palengke:Tuyo</v>
      </c>
      <c r="G24" t="str">
        <v>breakfast</v>
      </c>
      <c r="I24">
        <v>21</v>
      </c>
      <c r="J24" t="str">
        <v>pool</v>
      </c>
      <c r="K24">
        <f>SUMIF($G:G,J24,$E:E)</f>
        <v>0</v>
      </c>
      <c r="L24">
        <f>K24/$K$2</f>
        <v>0</v>
      </c>
      <c r="M24">
        <f>K24/31</f>
        <v>0</v>
      </c>
    </row>
    <row r="25">
      <c r="B25">
        <v>46024</v>
      </c>
      <c r="C25">
        <v>1200</v>
      </c>
      <c r="D25">
        <v>5</v>
      </c>
      <c r="E25">
        <f>C25*D25</f>
        <v>6000</v>
      </c>
      <c r="F25" t="str">
        <v>Palengke:Rice</v>
      </c>
      <c r="G25" t="str">
        <v>breakfast</v>
      </c>
      <c r="I25">
        <v>22</v>
      </c>
      <c r="J25" t="str">
        <v>recreation</v>
      </c>
      <c r="K25">
        <f>SUMIF($G:G,J25,$E:E)</f>
        <v>0</v>
      </c>
      <c r="L25">
        <f>K25/$K$2</f>
        <v>0</v>
      </c>
      <c r="M25">
        <f>K25/31</f>
        <v>0</v>
      </c>
    </row>
    <row r="26">
      <c r="B26">
        <v>46024</v>
      </c>
      <c r="C26">
        <v>550</v>
      </c>
      <c r="D26">
        <v>1</v>
      </c>
      <c r="E26">
        <f>C26*D26</f>
        <v>550</v>
      </c>
      <c r="F26" t="str">
        <v>Palengke:Honey dew</v>
      </c>
      <c r="G26" t="str">
        <v>breakfast</v>
      </c>
      <c r="I26">
        <v>23</v>
      </c>
      <c r="J26" t="str">
        <v>repair</v>
      </c>
      <c r="K26">
        <f>SUMIF($G:G,J26,$E:E)</f>
        <v>0</v>
      </c>
      <c r="L26">
        <f>K26/$K$2</f>
        <v>0</v>
      </c>
      <c r="M26">
        <f>K26/31</f>
        <v>0</v>
      </c>
    </row>
    <row r="27">
      <c r="B27">
        <v>46024</v>
      </c>
      <c r="C27">
        <v>950</v>
      </c>
      <c r="D27">
        <v>1</v>
      </c>
      <c r="E27">
        <f>C27*D27</f>
        <v>950</v>
      </c>
      <c r="F27" t="str">
        <v>Palengke:Pakwan</v>
      </c>
      <c r="G27" t="str">
        <v>breakfast</v>
      </c>
      <c r="I27">
        <v>24</v>
      </c>
      <c r="J27" t="str">
        <v>staff meals</v>
      </c>
      <c r="K27">
        <f>SUMIF($G:G,J27,$E:E)</f>
        <v>8296</v>
      </c>
      <c r="L27">
        <f>K27/$K$2</f>
        <v>0.03485562122</v>
      </c>
      <c r="M27">
        <f>K27/31</f>
        <v>267.6129032</v>
      </c>
    </row>
    <row r="28">
      <c r="B28">
        <v>46024</v>
      </c>
      <c r="C28">
        <v>1555</v>
      </c>
      <c r="D28">
        <v>1</v>
      </c>
      <c r="E28">
        <f>C28*D28</f>
        <v>1555</v>
      </c>
      <c r="F28" t="str">
        <v>Palengke:Vegetables</v>
      </c>
      <c r="G28" t="str">
        <v>breakfast</v>
      </c>
      <c r="I28">
        <v>25</v>
      </c>
      <c r="J28" t="str">
        <v>store</v>
      </c>
      <c r="K28">
        <f>SUMIF($G:G,J28,$E:E)</f>
        <v>0</v>
      </c>
      <c r="L28">
        <f>K28/$K$2</f>
        <v>0</v>
      </c>
      <c r="M28">
        <f>K28/31</f>
        <v>0</v>
      </c>
    </row>
    <row r="29">
      <c r="B29">
        <v>46024</v>
      </c>
      <c r="C29">
        <v>19.3</v>
      </c>
      <c r="D29">
        <v>49</v>
      </c>
      <c r="E29">
        <f>C29*D29</f>
        <v>945.7</v>
      </c>
      <c r="F29" t="str">
        <v>Puregold: Tang</v>
      </c>
      <c r="G29" t="str">
        <v>breakfast</v>
      </c>
      <c r="I29">
        <v>26</v>
      </c>
      <c r="J29" t="str">
        <v>transpo</v>
      </c>
      <c r="K29">
        <f>SUMIF($G:G,J29,$E:E)</f>
        <v>629</v>
      </c>
      <c r="L29">
        <f>K29/$K$2</f>
        <v>0.002642741773</v>
      </c>
      <c r="M29">
        <f>K29/31</f>
        <v>20.29032258</v>
      </c>
    </row>
    <row r="30">
      <c r="B30">
        <v>46024</v>
      </c>
      <c r="C30">
        <v>190</v>
      </c>
      <c r="D30">
        <v>4</v>
      </c>
      <c r="E30">
        <f>C30*D30</f>
        <v>760</v>
      </c>
      <c r="F30" t="str">
        <v>Puregold: Milo</v>
      </c>
      <c r="G30" t="str">
        <v>breakfast</v>
      </c>
      <c r="I30">
        <v>27</v>
      </c>
      <c r="J30" t="str">
        <v>uniforms</v>
      </c>
      <c r="K30">
        <f>SUMIF($G:G,J30,$E:E)</f>
        <v>0</v>
      </c>
      <c r="L30">
        <f>K30/$K$2</f>
        <v>0</v>
      </c>
      <c r="M30">
        <f>K30/31</f>
        <v>0</v>
      </c>
    </row>
    <row r="31">
      <c r="B31">
        <v>46024</v>
      </c>
      <c r="C31">
        <v>67</v>
      </c>
      <c r="D31">
        <v>15</v>
      </c>
      <c r="E31">
        <f>C31*D31</f>
        <v>1005</v>
      </c>
      <c r="F31" t="str">
        <v>Puregold:  Coffee mate</v>
      </c>
      <c r="G31" t="str">
        <v>coffee</v>
      </c>
      <c r="I31">
        <v>28</v>
      </c>
      <c r="J31" t="str">
        <v>water</v>
      </c>
      <c r="K31">
        <f>SUMIF($G:G,J31,$E:E)</f>
        <v>1935</v>
      </c>
      <c r="L31">
        <f>K31/$K$2</f>
        <v>0.008129897186</v>
      </c>
      <c r="M31">
        <f>K31/31</f>
        <v>62.41935484</v>
      </c>
    </row>
    <row r="32">
      <c r="B32">
        <v>46024</v>
      </c>
      <c r="C32">
        <v>58</v>
      </c>
      <c r="D32">
        <v>6</v>
      </c>
      <c r="E32">
        <f>C32*D32</f>
        <v>348</v>
      </c>
      <c r="F32" t="str">
        <v>Puregold: :Pancake</v>
      </c>
      <c r="G32" t="str">
        <v>breakfast</v>
      </c>
    </row>
    <row r="33">
      <c r="B33">
        <v>46024</v>
      </c>
      <c r="C33">
        <v>80</v>
      </c>
      <c r="D33">
        <v>2</v>
      </c>
      <c r="E33">
        <f>C33*D33</f>
        <v>160</v>
      </c>
      <c r="F33" t="str">
        <v>Puregold: pancake</v>
      </c>
      <c r="G33" t="str">
        <v>breakfast</v>
      </c>
    </row>
    <row r="34">
      <c r="B34">
        <v>46024</v>
      </c>
      <c r="C34">
        <v>304.5</v>
      </c>
      <c r="D34">
        <v>1</v>
      </c>
      <c r="E34">
        <f>C34*D34</f>
        <v>304.5</v>
      </c>
      <c r="F34" t="str">
        <v>Puregold: Knor Seasoning</v>
      </c>
      <c r="G34" t="str">
        <v>breakfast</v>
      </c>
    </row>
    <row r="35">
      <c r="B35">
        <v>46024</v>
      </c>
      <c r="C35">
        <v>56.75</v>
      </c>
      <c r="D35">
        <v>1</v>
      </c>
      <c r="E35">
        <f>C35*D35</f>
        <v>56.75</v>
      </c>
      <c r="F35" t="str">
        <v>Puregold: Vinegar</v>
      </c>
      <c r="G35" t="str">
        <v>breakfast</v>
      </c>
    </row>
    <row r="36">
      <c r="B36">
        <v>46024</v>
      </c>
      <c r="C36">
        <v>26</v>
      </c>
      <c r="D36">
        <v>5</v>
      </c>
      <c r="E36">
        <f>C36*D36</f>
        <v>130</v>
      </c>
      <c r="F36" t="str">
        <v>Puregold: Ketchup</v>
      </c>
      <c r="G36" t="str">
        <v>breakfast</v>
      </c>
    </row>
    <row r="37">
      <c r="B37">
        <v>46024</v>
      </c>
      <c r="C37">
        <v>126.5</v>
      </c>
      <c r="D37">
        <v>1</v>
      </c>
      <c r="E37">
        <f>C37*D37</f>
        <v>126.5</v>
      </c>
      <c r="F37" t="str">
        <v>Puregold: Pancake syrup</v>
      </c>
      <c r="G37" t="str">
        <v>breakfast</v>
      </c>
    </row>
    <row r="38">
      <c r="B38">
        <v>46024</v>
      </c>
      <c r="C38">
        <v>126.5</v>
      </c>
      <c r="D38">
        <v>1</v>
      </c>
      <c r="E38">
        <f>C38*D38</f>
        <v>126.5</v>
      </c>
      <c r="F38" t="str">
        <v>Puregold:  Pancake</v>
      </c>
      <c r="G38" t="str">
        <v>breakfast</v>
      </c>
    </row>
    <row r="39">
      <c r="B39">
        <v>46024</v>
      </c>
      <c r="C39">
        <v>225</v>
      </c>
      <c r="D39">
        <v>1</v>
      </c>
      <c r="E39">
        <f>C39*D39</f>
        <v>225</v>
      </c>
      <c r="F39" t="str">
        <v>Puregold: Cfj</v>
      </c>
      <c r="G39" t="str">
        <v>breakfast</v>
      </c>
      <c r="H39" t="str">
        <v xml:space="preserve"> </v>
      </c>
    </row>
    <row r="40">
      <c r="B40">
        <v>46024</v>
      </c>
      <c r="C40">
        <v>225</v>
      </c>
      <c r="D40">
        <v>1</v>
      </c>
      <c r="E40">
        <f>C40*D40</f>
        <v>225</v>
      </c>
      <c r="F40" t="str">
        <v>Puregold: Cfc</v>
      </c>
      <c r="G40" t="str">
        <v>breakfast</v>
      </c>
      <c r="L40" t="str">
        <v xml:space="preserve"> </v>
      </c>
    </row>
    <row r="41">
      <c r="B41">
        <v>46024</v>
      </c>
      <c r="C41">
        <v>225</v>
      </c>
      <c r="D41">
        <v>1</v>
      </c>
      <c r="E41">
        <f>C41*D41</f>
        <v>225</v>
      </c>
      <c r="F41" t="str">
        <v>Puregold: Cfc</v>
      </c>
      <c r="G41" t="str">
        <v>breakfast</v>
      </c>
    </row>
    <row r="42">
      <c r="B42">
        <v>46024</v>
      </c>
      <c r="C42">
        <v>71.75</v>
      </c>
      <c r="D42">
        <v>2</v>
      </c>
      <c r="E42">
        <f>C42*D42</f>
        <v>143.5</v>
      </c>
      <c r="F42" t="str">
        <v>Puregold: Patis</v>
      </c>
      <c r="G42" t="str">
        <v>breakfast</v>
      </c>
    </row>
    <row r="43">
      <c r="B43">
        <v>46024</v>
      </c>
      <c r="C43">
        <v>380.75</v>
      </c>
      <c r="D43">
        <v>1</v>
      </c>
      <c r="E43">
        <f>C43*D43</f>
        <v>380.75</v>
      </c>
      <c r="F43" t="str">
        <v xml:space="preserve">Puregold: Mamasitas </v>
      </c>
      <c r="G43" t="str">
        <v>breakfast</v>
      </c>
    </row>
    <row r="44">
      <c r="B44">
        <v>46024</v>
      </c>
      <c r="C44">
        <v>196.75</v>
      </c>
      <c r="D44">
        <v>1</v>
      </c>
      <c r="E44">
        <f>C44*D44</f>
        <v>196.75</v>
      </c>
      <c r="F44" t="str">
        <v>Puregold: Soy sauce</v>
      </c>
      <c r="G44" t="str">
        <v>breakfast</v>
      </c>
    </row>
    <row r="45">
      <c r="B45">
        <v>46024</v>
      </c>
      <c r="C45">
        <v>144</v>
      </c>
      <c r="D45">
        <v>1</v>
      </c>
      <c r="E45">
        <f>C45*D45</f>
        <v>144</v>
      </c>
      <c r="F45" t="str">
        <v>Puregold: Chiz</v>
      </c>
      <c r="G45" t="str">
        <v>breakfast</v>
      </c>
    </row>
    <row r="46">
      <c r="B46">
        <v>46024</v>
      </c>
      <c r="C46">
        <v>36.75</v>
      </c>
      <c r="D46">
        <v>12</v>
      </c>
      <c r="E46">
        <f>C46*D46</f>
        <v>441</v>
      </c>
      <c r="F46" t="str">
        <v>Puregold: Sugar</v>
      </c>
      <c r="G46" t="str">
        <v>breakfast</v>
      </c>
    </row>
    <row r="47">
      <c r="B47">
        <v>46024</v>
      </c>
      <c r="C47">
        <v>171</v>
      </c>
      <c r="D47">
        <v>4</v>
      </c>
      <c r="E47">
        <f>C47*D47</f>
        <v>684</v>
      </c>
      <c r="F47" t="str">
        <v>Puregold: Selecta milk</v>
      </c>
      <c r="G47" t="str">
        <v>breakfast</v>
      </c>
    </row>
    <row r="48">
      <c r="B48">
        <v>46024</v>
      </c>
      <c r="C48">
        <v>161</v>
      </c>
      <c r="D48">
        <v>5</v>
      </c>
      <c r="E48">
        <f>C48*D48</f>
        <v>805</v>
      </c>
      <c r="F48" t="str">
        <v>Puregold: Magnolia Butter</v>
      </c>
      <c r="G48" t="str">
        <v>breakfast</v>
      </c>
    </row>
    <row r="49">
      <c r="B49">
        <v>46024</v>
      </c>
      <c r="C49">
        <v>36.5</v>
      </c>
      <c r="D49">
        <v>3</v>
      </c>
      <c r="E49">
        <f>C49*D49</f>
        <v>109.5</v>
      </c>
      <c r="F49" t="str">
        <v>Puregold: Knor shrimp</v>
      </c>
      <c r="G49" t="str">
        <v>breakfast</v>
      </c>
    </row>
    <row r="50">
      <c r="B50">
        <v>46024</v>
      </c>
      <c r="C50">
        <v>36.5</v>
      </c>
      <c r="D50">
        <v>1</v>
      </c>
      <c r="E50">
        <f>C50*D50</f>
        <v>36.5</v>
      </c>
      <c r="F50" t="str">
        <v>Puregold: Knor beef</v>
      </c>
      <c r="G50" t="str">
        <v>breakfast</v>
      </c>
    </row>
    <row r="51">
      <c r="B51">
        <v>46024</v>
      </c>
      <c r="C51">
        <v>36.5</v>
      </c>
      <c r="D51">
        <v>2</v>
      </c>
      <c r="E51">
        <f>C51*D51</f>
        <v>73</v>
      </c>
      <c r="F51" t="str">
        <v>Puregold: Knor pork</v>
      </c>
      <c r="G51" t="str">
        <v>breakfast</v>
      </c>
    </row>
    <row r="52">
      <c r="B52">
        <v>46024</v>
      </c>
      <c r="C52">
        <v>25</v>
      </c>
      <c r="D52">
        <v>2</v>
      </c>
      <c r="E52">
        <f>C52*D52</f>
        <v>50</v>
      </c>
      <c r="F52" t="str">
        <v>Puregold: Pure bbp</v>
      </c>
      <c r="G52" t="str">
        <v>breakfast</v>
      </c>
    </row>
    <row r="53">
      <c r="B53">
        <v>46024</v>
      </c>
      <c r="C53">
        <v>67.5</v>
      </c>
      <c r="D53">
        <v>2</v>
      </c>
      <c r="E53">
        <f>C53*D53</f>
        <v>135</v>
      </c>
      <c r="F53" t="str">
        <v>Puregold: Knor chicken</v>
      </c>
      <c r="G53" t="str">
        <v>breakfast</v>
      </c>
    </row>
    <row r="54">
      <c r="B54">
        <v>46024</v>
      </c>
      <c r="C54">
        <v>14.9</v>
      </c>
      <c r="D54">
        <v>21</v>
      </c>
      <c r="E54">
        <f>C54*D54</f>
        <v>312.9</v>
      </c>
      <c r="F54" t="str">
        <v>Knor gabi</v>
      </c>
      <c r="G54" t="str">
        <v>breakfast</v>
      </c>
    </row>
    <row r="55">
      <c r="B55">
        <v>46024</v>
      </c>
      <c r="C55">
        <v>31.5</v>
      </c>
      <c r="D55">
        <v>1</v>
      </c>
      <c r="E55">
        <f>C55*D55</f>
        <v>31.5</v>
      </c>
      <c r="F55" t="str">
        <v>Puregold: Knor gabi</v>
      </c>
      <c r="G55" t="str">
        <v>kitchen</v>
      </c>
    </row>
    <row r="56">
      <c r="B56">
        <v>46024</v>
      </c>
      <c r="C56">
        <v>31.5</v>
      </c>
      <c r="D56">
        <v>1</v>
      </c>
      <c r="E56">
        <f>C56*D56</f>
        <v>31.5</v>
      </c>
      <c r="F56" t="str">
        <v>Puregold: Ice bag</v>
      </c>
      <c r="G56" t="str">
        <v>kitchen</v>
      </c>
    </row>
    <row r="57">
      <c r="B57">
        <v>46024</v>
      </c>
      <c r="C57">
        <v>99.75</v>
      </c>
      <c r="D57">
        <v>1</v>
      </c>
      <c r="E57">
        <f>C57*D57</f>
        <v>99.75</v>
      </c>
      <c r="F57" t="str">
        <v xml:space="preserve">Puregold: Pure basics </v>
      </c>
      <c r="G57" t="str">
        <v>kitchen</v>
      </c>
    </row>
    <row r="58">
      <c r="B58">
        <v>46024</v>
      </c>
      <c r="C58">
        <v>42.75</v>
      </c>
      <c r="D58">
        <v>1</v>
      </c>
      <c r="E58">
        <f>C58*D58</f>
        <v>42.75</v>
      </c>
      <c r="F58" t="str">
        <v>Puregold: Plastic</v>
      </c>
      <c r="G58" t="str">
        <v>kitchen</v>
      </c>
    </row>
    <row r="59">
      <c r="B59">
        <v>46024</v>
      </c>
      <c r="C59">
        <v>74.5</v>
      </c>
      <c r="D59">
        <v>1</v>
      </c>
      <c r="E59">
        <f>C59*D59</f>
        <v>74.5</v>
      </c>
      <c r="F59" t="str">
        <v>Puregold: Bio</v>
      </c>
      <c r="G59" t="str">
        <v>kitchen</v>
      </c>
    </row>
    <row r="60">
      <c r="B60">
        <v>46024</v>
      </c>
      <c r="C60">
        <v>40</v>
      </c>
      <c r="D60">
        <v>1</v>
      </c>
      <c r="E60">
        <f>C60*D60</f>
        <v>40</v>
      </c>
      <c r="F60" t="str">
        <v>Puregold: Food bag</v>
      </c>
      <c r="G60" t="str">
        <v>kitchen</v>
      </c>
    </row>
    <row r="61">
      <c r="B61">
        <v>46024</v>
      </c>
      <c r="C61">
        <v>37.75</v>
      </c>
      <c r="D61">
        <v>6</v>
      </c>
      <c r="E61">
        <f>C61*D61</f>
        <v>226.5</v>
      </c>
      <c r="F61" t="str">
        <v>Puregold: 3m Sss</v>
      </c>
      <c r="G61" t="str">
        <v>kitchen</v>
      </c>
    </row>
    <row r="62">
      <c r="B62">
        <v>46024</v>
      </c>
      <c r="C62">
        <v>13.75</v>
      </c>
      <c r="D62">
        <v>2</v>
      </c>
      <c r="E62">
        <f>C62*D62</f>
        <v>27.5</v>
      </c>
      <c r="F62" t="str">
        <v>Puregold: St stock refil</v>
      </c>
      <c r="G62" t="str">
        <v>kitchen</v>
      </c>
    </row>
    <row r="63">
      <c r="B63">
        <v>46024</v>
      </c>
      <c r="C63">
        <v>150</v>
      </c>
      <c r="D63">
        <v>1</v>
      </c>
      <c r="E63">
        <f>C63*D63</f>
        <v>150</v>
      </c>
      <c r="F63" t="str">
        <v>Puregold: Zonrox floral</v>
      </c>
      <c r="G63" t="str">
        <v>laundry</v>
      </c>
    </row>
    <row r="64">
      <c r="B64">
        <v>46024</v>
      </c>
      <c r="C64">
        <v>27.75</v>
      </c>
      <c r="D64">
        <v>6</v>
      </c>
      <c r="E64">
        <f>C64*D64</f>
        <v>166.5</v>
      </c>
      <c r="F64" t="str">
        <v>Puregold: Sponge</v>
      </c>
      <c r="G64" t="str">
        <v>kitchen</v>
      </c>
      <c r="H64" t="str">
        <v xml:space="preserve">     </v>
      </c>
    </row>
    <row r="65">
      <c r="B65">
        <v>46024</v>
      </c>
      <c r="C65">
        <v>150</v>
      </c>
      <c r="D65">
        <v>2</v>
      </c>
      <c r="E65">
        <f>C65*D65</f>
        <v>300</v>
      </c>
      <c r="F65" t="str">
        <v>Puregold: Xonrox Lemon</v>
      </c>
      <c r="G65" t="str">
        <v>laundry</v>
      </c>
    </row>
    <row r="66">
      <c r="B66">
        <v>46024</v>
      </c>
      <c r="C66">
        <v>144.25</v>
      </c>
      <c r="D66">
        <v>3</v>
      </c>
      <c r="E66">
        <f>C66*D66</f>
        <v>432.75</v>
      </c>
      <c r="F66" t="str">
        <v>Puregold: Zonrox orig</v>
      </c>
      <c r="G66" t="str">
        <v>laundry</v>
      </c>
    </row>
    <row r="67">
      <c r="B67">
        <v>46024</v>
      </c>
      <c r="C67">
        <v>146.5</v>
      </c>
      <c r="D67">
        <v>3</v>
      </c>
      <c r="E67">
        <f>C67*D67</f>
        <v>439.5</v>
      </c>
      <c r="F67" t="str">
        <v>Puregold: Silver swan</v>
      </c>
      <c r="G67" t="str">
        <v>breakfast</v>
      </c>
    </row>
    <row r="68">
      <c r="B68">
        <v>46024</v>
      </c>
      <c r="C68">
        <v>2055</v>
      </c>
      <c r="D68">
        <v>3</v>
      </c>
      <c r="E68">
        <f>C68*D68</f>
        <v>6165</v>
      </c>
      <c r="F68" t="str">
        <v>Puregold: Oil vegetables</v>
      </c>
      <c r="G68" t="str">
        <v>breakfast</v>
      </c>
    </row>
    <row r="69">
      <c r="B69">
        <v>46024</v>
      </c>
      <c r="C69">
        <v>199</v>
      </c>
      <c r="D69">
        <v>3</v>
      </c>
      <c r="E69">
        <f>C69*D69</f>
        <v>597</v>
      </c>
      <c r="F69" t="str">
        <v>Puregold: Calla powder</v>
      </c>
      <c r="G69" t="str">
        <v>laundry</v>
      </c>
    </row>
    <row r="70">
      <c r="B70">
        <v>46024</v>
      </c>
      <c r="C70">
        <v>199</v>
      </c>
      <c r="D70">
        <v>12</v>
      </c>
      <c r="E70">
        <f>C70*D70</f>
        <v>2388</v>
      </c>
      <c r="F70" t="str">
        <v>Puregold: Calla powder</v>
      </c>
      <c r="G70" t="str">
        <v>laundry</v>
      </c>
    </row>
    <row r="71">
      <c r="B71">
        <v>46025</v>
      </c>
      <c r="C71">
        <v>40</v>
      </c>
      <c r="D71">
        <v>156.5</v>
      </c>
      <c r="E71">
        <f>C71*D71</f>
        <v>6260</v>
      </c>
      <c r="F71" t="str">
        <v>Titas Special: Chicken tocino</v>
      </c>
      <c r="G71" t="str">
        <v>breakfast</v>
      </c>
    </row>
    <row r="72">
      <c r="B72">
        <v>46025</v>
      </c>
      <c r="C72">
        <v>40</v>
      </c>
      <c r="D72">
        <v>145.75</v>
      </c>
      <c r="E72">
        <f>C72*D72</f>
        <v>5830</v>
      </c>
      <c r="F72" t="str">
        <v>Titas Special: Chicken Longganisa</v>
      </c>
      <c r="G72" t="str">
        <v>breakfast</v>
      </c>
    </row>
    <row r="73">
      <c r="B73">
        <v>46026</v>
      </c>
      <c r="C73">
        <v>1000</v>
      </c>
      <c r="D73">
        <v>1</v>
      </c>
      <c r="E73">
        <f>C73*D73</f>
        <v>1000</v>
      </c>
      <c r="F73" t="str">
        <v>Bataan Gas Center</v>
      </c>
      <c r="G73" t="str">
        <v>Kitchen</v>
      </c>
    </row>
    <row r="74">
      <c r="B74">
        <v>46027</v>
      </c>
      <c r="C74">
        <v>2000</v>
      </c>
      <c r="D74">
        <v>1</v>
      </c>
      <c r="E74">
        <f>C74*D74</f>
        <v>2000</v>
      </c>
      <c r="F74" t="str">
        <v>Carborator/ Gas/ Tansi</v>
      </c>
      <c r="G74" t="str">
        <v>garden</v>
      </c>
    </row>
    <row r="75">
      <c r="B75">
        <v>46027</v>
      </c>
      <c r="C75">
        <v>549</v>
      </c>
      <c r="D75">
        <v>1</v>
      </c>
      <c r="E75">
        <f>C75*D75</f>
        <v>549</v>
      </c>
      <c r="F75" t="str">
        <v>Joy Sari-Sari Store:Fruits</v>
      </c>
      <c r="G75" t="str">
        <v>breakfast</v>
      </c>
    </row>
    <row r="76">
      <c r="B76">
        <v>46029</v>
      </c>
      <c r="C76">
        <v>33538.47</v>
      </c>
      <c r="D76">
        <v>1</v>
      </c>
      <c r="E76">
        <f>C76*D76</f>
        <v>33538.47</v>
      </c>
      <c r="F76" t="str">
        <v>Sanitary Care Products: SI 000005968</v>
      </c>
      <c r="G76" t="str">
        <v>cleaning</v>
      </c>
    </row>
    <row r="77">
      <c r="B77">
        <v>46029</v>
      </c>
      <c r="C77">
        <v>500</v>
      </c>
      <c r="D77">
        <v>1</v>
      </c>
      <c r="E77">
        <f>C77*D77</f>
        <v>500</v>
      </c>
      <c r="F77" t="str">
        <v>Transpo</v>
      </c>
      <c r="G77" t="str">
        <v>transpo</v>
      </c>
    </row>
    <row r="78">
      <c r="B78">
        <v>46029</v>
      </c>
      <c r="C78">
        <v>225</v>
      </c>
      <c r="D78">
        <v>2</v>
      </c>
      <c r="E78">
        <f>C78*D78</f>
        <v>450</v>
      </c>
      <c r="F78" t="str">
        <v>Irene Medina: Egg</v>
      </c>
      <c r="G78" t="str">
        <v>breakfast</v>
      </c>
    </row>
    <row r="79">
      <c r="B79">
        <v>46029</v>
      </c>
      <c r="C79">
        <v>549</v>
      </c>
      <c r="D79">
        <v>1</v>
      </c>
      <c r="E79">
        <f>C79*D79</f>
        <v>549</v>
      </c>
      <c r="F79" t="str">
        <v>Joy sari sari Store: Lakatan</v>
      </c>
      <c r="G79" t="str">
        <v>breakfast</v>
      </c>
    </row>
    <row r="80">
      <c r="B80">
        <v>46031</v>
      </c>
      <c r="C80">
        <v>66</v>
      </c>
      <c r="D80">
        <v>1</v>
      </c>
      <c r="E80">
        <f>C80*D80</f>
        <v>66</v>
      </c>
      <c r="F80" t="str">
        <v>Pandayan: Stapler bala</v>
      </c>
      <c r="G80" t="str">
        <v>admin</v>
      </c>
    </row>
    <row r="81">
      <c r="B81">
        <v>46031</v>
      </c>
      <c r="C81">
        <v>14</v>
      </c>
      <c r="D81">
        <v>2</v>
      </c>
      <c r="E81">
        <f>C81*D81</f>
        <v>28</v>
      </c>
      <c r="F81" t="str">
        <v>Pandayan: Marker</v>
      </c>
      <c r="G81" t="str">
        <v>admin</v>
      </c>
    </row>
    <row r="82">
      <c r="B82">
        <v>46031</v>
      </c>
      <c r="C82">
        <v>80.75</v>
      </c>
      <c r="D82">
        <v>1</v>
      </c>
      <c r="E82">
        <f>C82*D82</f>
        <v>80.75</v>
      </c>
      <c r="F82" t="str">
        <v>Pandayan: Storage box</v>
      </c>
      <c r="G82" t="str">
        <v>admin</v>
      </c>
    </row>
    <row r="83">
      <c r="B83">
        <v>46031</v>
      </c>
      <c r="C83">
        <v>207.1</v>
      </c>
      <c r="D83">
        <v>1</v>
      </c>
      <c r="E83">
        <f>C83*D83</f>
        <v>207.1</v>
      </c>
      <c r="F83" t="str">
        <v>Pandayan Bond paper a4</v>
      </c>
      <c r="G83" t="str">
        <v>admin</v>
      </c>
    </row>
    <row r="84">
      <c r="B84">
        <v>46031</v>
      </c>
      <c r="C84">
        <v>6.65</v>
      </c>
      <c r="D84">
        <v>12</v>
      </c>
      <c r="E84">
        <f>C84*D84</f>
        <v>79.8</v>
      </c>
      <c r="F84" t="str">
        <v>Pandayan:Folder</v>
      </c>
      <c r="G84" t="str">
        <v>admin</v>
      </c>
    </row>
    <row r="85">
      <c r="B85">
        <v>46031</v>
      </c>
      <c r="C85">
        <v>43.22</v>
      </c>
      <c r="D85">
        <v>1</v>
      </c>
      <c r="E85">
        <f>C85*D85</f>
        <v>43.22</v>
      </c>
      <c r="F85" t="str">
        <v>Pandayan:Sticker Paper</v>
      </c>
      <c r="G85" t="str">
        <v>admin</v>
      </c>
    </row>
    <row r="86">
      <c r="B86">
        <v>46031</v>
      </c>
      <c r="C86">
        <v>29.45</v>
      </c>
      <c r="D86">
        <v>3</v>
      </c>
      <c r="E86">
        <f>C86*D86</f>
        <v>88.35</v>
      </c>
      <c r="F86" t="str">
        <v>Pandayan:Notebook</v>
      </c>
      <c r="G86" t="str">
        <v>admin</v>
      </c>
    </row>
    <row r="87">
      <c r="B87">
        <v>46031</v>
      </c>
      <c r="C87">
        <v>15.2</v>
      </c>
      <c r="D87">
        <v>2</v>
      </c>
      <c r="E87">
        <f>C87*D87</f>
        <v>30.4</v>
      </c>
      <c r="F87" t="str">
        <v>Pandayan:Notebook small</v>
      </c>
      <c r="G87" t="str">
        <v>admin</v>
      </c>
    </row>
    <row r="88">
      <c r="B88">
        <v>46031</v>
      </c>
      <c r="C88">
        <f>45.6+76+41.8</f>
        <v>163.4</v>
      </c>
      <c r="D88">
        <v>1</v>
      </c>
      <c r="E88">
        <f>C88*D88</f>
        <v>163.4</v>
      </c>
      <c r="F88" t="str">
        <v>Pandayan:scotch tape</v>
      </c>
      <c r="G88" t="str">
        <v>admin</v>
      </c>
    </row>
    <row r="89">
      <c r="B89">
        <v>46031</v>
      </c>
      <c r="C89">
        <v>60.8</v>
      </c>
      <c r="D89">
        <v>1</v>
      </c>
      <c r="E89">
        <f>C89*D89</f>
        <v>60.8</v>
      </c>
      <c r="F89" t="str">
        <v>Pandayan:Scissors</v>
      </c>
      <c r="G89" t="str">
        <v>admin</v>
      </c>
    </row>
    <row r="90">
      <c r="B90">
        <v>46031</v>
      </c>
      <c r="C90">
        <v>38</v>
      </c>
      <c r="D90">
        <v>1</v>
      </c>
      <c r="E90">
        <f>C90*D90</f>
        <v>38</v>
      </c>
      <c r="F90" t="str">
        <v>Pandayan:Binder clip</v>
      </c>
      <c r="G90" t="str">
        <v>admin</v>
      </c>
    </row>
    <row r="91">
      <c r="B91">
        <v>46031</v>
      </c>
      <c r="C91">
        <v>38</v>
      </c>
      <c r="D91">
        <v>1</v>
      </c>
      <c r="E91">
        <f>C91*D91</f>
        <v>38</v>
      </c>
      <c r="F91" t="str">
        <v>Pandayan:Mesh pouch</v>
      </c>
      <c r="G91" t="str">
        <v>admin</v>
      </c>
    </row>
    <row r="92">
      <c r="B92">
        <v>46031</v>
      </c>
      <c r="C92">
        <v>40.85</v>
      </c>
      <c r="D92">
        <v>4</v>
      </c>
      <c r="E92">
        <f>C92*D92</f>
        <v>163.4</v>
      </c>
      <c r="F92" t="str">
        <v>Pandayan:Pouch</v>
      </c>
      <c r="G92" t="str">
        <v>admin</v>
      </c>
    </row>
    <row r="93">
      <c r="B93">
        <v>46031</v>
      </c>
      <c r="C93">
        <v>17.1</v>
      </c>
      <c r="D93">
        <v>2</v>
      </c>
      <c r="E93">
        <f>C93*D93</f>
        <v>34.2</v>
      </c>
      <c r="F93" t="str">
        <v>Pandayan:Paper clip</v>
      </c>
      <c r="G93" t="str">
        <v>admin</v>
      </c>
    </row>
    <row r="94">
      <c r="B94">
        <v>46031</v>
      </c>
      <c r="C94">
        <v>45.6</v>
      </c>
      <c r="D94">
        <v>1</v>
      </c>
      <c r="E94">
        <f>C94*D94</f>
        <v>45.6</v>
      </c>
      <c r="F94" t="str">
        <v>Pandayan:Correction tape</v>
      </c>
      <c r="G94" t="str">
        <v>admin</v>
      </c>
    </row>
    <row r="95">
      <c r="B95">
        <v>46031</v>
      </c>
      <c r="C95">
        <f>880/4</f>
        <v>220</v>
      </c>
      <c r="D95">
        <v>4</v>
      </c>
      <c r="E95">
        <f>C95*D95</f>
        <v>880</v>
      </c>
      <c r="F95" t="str">
        <v>Irene Medina: Egg</v>
      </c>
      <c r="G95" t="str">
        <v>breakfast</v>
      </c>
    </row>
    <row r="96">
      <c r="B96">
        <v>46031</v>
      </c>
      <c r="C96">
        <f>260</f>
        <v>260</v>
      </c>
      <c r="D96">
        <v>2</v>
      </c>
      <c r="E96">
        <f>C96*D96</f>
        <v>520</v>
      </c>
      <c r="F96" t="str">
        <v>Joy Sari-Sari Store:Chcicken</v>
      </c>
      <c r="G96" t="str">
        <v>staff meals</v>
      </c>
      <c r="Z96" t="str">
        <v xml:space="preserve">     </v>
      </c>
    </row>
    <row r="97">
      <c r="B97">
        <v>46031</v>
      </c>
      <c r="C97">
        <v>65</v>
      </c>
      <c r="D97">
        <v>1</v>
      </c>
      <c r="E97">
        <f>C97*D97</f>
        <v>65</v>
      </c>
      <c r="F97" t="str">
        <v>Joy Sari-Sari Store:Sibuyas</v>
      </c>
      <c r="G97" t="str">
        <v>staff meals</v>
      </c>
    </row>
    <row r="98">
      <c r="B98">
        <v>46031</v>
      </c>
      <c r="C98">
        <v>30</v>
      </c>
      <c r="D98">
        <v>2</v>
      </c>
      <c r="E98">
        <f>C98*D98</f>
        <v>60</v>
      </c>
      <c r="F98" t="str">
        <v>Joy Sari-Sari Store:Gulay</v>
      </c>
      <c r="G98" t="str">
        <v>staff meals</v>
      </c>
    </row>
    <row r="99">
      <c r="B99">
        <v>46031</v>
      </c>
      <c r="C99">
        <v>6</v>
      </c>
      <c r="D99">
        <v>5</v>
      </c>
      <c r="E99">
        <f>C99*D99</f>
        <v>30</v>
      </c>
      <c r="F99" t="str">
        <v>Joy Sari-Sari Store:magic</v>
      </c>
      <c r="G99" t="str">
        <v>staff meals</v>
      </c>
    </row>
    <row r="100">
      <c r="B100">
        <v>46031</v>
      </c>
      <c r="C100">
        <v>20</v>
      </c>
      <c r="D100">
        <v>1</v>
      </c>
      <c r="E100">
        <f>C100*D100</f>
        <v>20</v>
      </c>
      <c r="F100" t="str">
        <v>Joy Sari-Sari Store:Puto</v>
      </c>
      <c r="G100" t="str">
        <v>staff meals</v>
      </c>
    </row>
    <row r="101">
      <c r="B101">
        <v>46031</v>
      </c>
      <c r="C101">
        <v>320</v>
      </c>
      <c r="D101">
        <v>1</v>
      </c>
      <c r="E101">
        <f>C101*D101</f>
        <v>320</v>
      </c>
      <c r="F101" t="str">
        <v>Joy Sari-Sari Store:Lakatan</v>
      </c>
      <c r="G101" t="str">
        <v>breakfast</v>
      </c>
      <c r="H101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">
      <c r="B102">
        <v>46031</v>
      </c>
      <c r="C102">
        <v>120</v>
      </c>
      <c r="D102">
        <v>1</v>
      </c>
      <c r="E102">
        <f>C102*D102</f>
        <v>120</v>
      </c>
      <c r="F102" t="str">
        <v>Joy Sari-Sari Store:Okra</v>
      </c>
      <c r="G102" t="str">
        <v>breakfast</v>
      </c>
    </row>
    <row r="103">
      <c r="B103">
        <v>46031</v>
      </c>
      <c r="C103">
        <v>75</v>
      </c>
      <c r="D103">
        <v>1</v>
      </c>
      <c r="E103">
        <f>C103*D103</f>
        <v>75</v>
      </c>
      <c r="F103" t="str">
        <v>Joy Sari-Sari Store:Kamatis</v>
      </c>
      <c r="G103" t="str">
        <v>breakfast</v>
      </c>
    </row>
    <row r="104">
      <c r="B104">
        <v>46031</v>
      </c>
      <c r="C104">
        <v>120</v>
      </c>
      <c r="D104">
        <v>1</v>
      </c>
      <c r="E104">
        <f>C104*D104</f>
        <v>120</v>
      </c>
      <c r="F104" t="str">
        <v>Joy Sari-Sari Store:Talong</v>
      </c>
      <c r="G104" t="str">
        <v>breakfast</v>
      </c>
    </row>
    <row r="105">
      <c r="B105">
        <v>46032</v>
      </c>
      <c r="C105">
        <f>210/7</f>
        <v>30</v>
      </c>
      <c r="D105">
        <v>7</v>
      </c>
      <c r="E105">
        <f>C105*D105</f>
        <v>210</v>
      </c>
      <c r="F105" t="str">
        <v>Joy Sari-Sari Store:pakbet</v>
      </c>
      <c r="G105" t="str">
        <v>breakfast</v>
      </c>
    </row>
    <row r="106">
      <c r="B106">
        <v>46032</v>
      </c>
      <c r="C106">
        <v>340</v>
      </c>
      <c r="D106">
        <v>1</v>
      </c>
      <c r="E106">
        <f>C106*D106</f>
        <v>340</v>
      </c>
      <c r="F106" t="str">
        <v>Joy Sari-Sari Store:Gigi</v>
      </c>
      <c r="G106" t="str">
        <v>staff meals</v>
      </c>
    </row>
    <row r="107">
      <c r="B107">
        <v>46032</v>
      </c>
      <c r="C107">
        <v>5</v>
      </c>
      <c r="D107">
        <v>2</v>
      </c>
      <c r="E107">
        <f>C107*D107</f>
        <v>10</v>
      </c>
      <c r="F107" t="str">
        <v>Joy Sari-Sari Store:Betsin</v>
      </c>
      <c r="G107" t="str">
        <v>staff meals</v>
      </c>
    </row>
    <row r="108">
      <c r="B108">
        <v>46032</v>
      </c>
      <c r="C108">
        <v>170</v>
      </c>
      <c r="D108">
        <v>1</v>
      </c>
      <c r="E108">
        <f>C108*D108</f>
        <v>170</v>
      </c>
      <c r="F108" t="str">
        <v>Joy Sari-Sari Store:Gigi</v>
      </c>
      <c r="G108" t="str">
        <v>staff meals</v>
      </c>
    </row>
    <row r="109">
      <c r="B109">
        <v>46032</v>
      </c>
      <c r="C109">
        <v>370</v>
      </c>
      <c r="D109">
        <v>1</v>
      </c>
      <c r="E109">
        <f>C109*D109</f>
        <v>370</v>
      </c>
      <c r="F109" t="str">
        <v>Joy Sari-Sari Store:Lakatan</v>
      </c>
      <c r="G109" t="str">
        <v>breakfast</v>
      </c>
    </row>
    <row r="110">
      <c r="B110">
        <v>46032</v>
      </c>
      <c r="C110">
        <v>140</v>
      </c>
      <c r="D110">
        <v>1</v>
      </c>
      <c r="E110">
        <f>C110*D110</f>
        <v>140</v>
      </c>
      <c r="F110" t="str">
        <v>Joy Sari-Sari Store:Okra</v>
      </c>
      <c r="G110" t="str">
        <v>breakfast</v>
      </c>
    </row>
    <row r="111">
      <c r="B111">
        <v>46032</v>
      </c>
      <c r="C111">
        <v>150</v>
      </c>
      <c r="D111">
        <v>1</v>
      </c>
      <c r="E111">
        <f>C111*D111</f>
        <v>150</v>
      </c>
      <c r="F111" t="str">
        <v>Joy Sari-Sari Store:Kamatis</v>
      </c>
      <c r="G111" t="str">
        <v>breakfast</v>
      </c>
    </row>
    <row r="112">
      <c r="B112">
        <v>46033</v>
      </c>
      <c r="C112">
        <f>427/2</f>
        <v>213.5</v>
      </c>
      <c r="D112">
        <v>2</v>
      </c>
      <c r="E112">
        <f>C112*D112</f>
        <v>427</v>
      </c>
      <c r="F112" t="str">
        <v>Joy Sari-Sari Store:Bangus</v>
      </c>
      <c r="G112" t="str">
        <v>staff meals</v>
      </c>
    </row>
    <row r="113">
      <c r="B113">
        <v>46033</v>
      </c>
      <c r="C113">
        <v>99</v>
      </c>
      <c r="D113">
        <v>1</v>
      </c>
      <c r="E113">
        <f>C113*D113</f>
        <v>99</v>
      </c>
      <c r="F113" t="str">
        <v>Joy Sari-Sari Store:Tokwa</v>
      </c>
      <c r="G113" t="str">
        <v>staff meals</v>
      </c>
    </row>
    <row r="114">
      <c r="B114">
        <v>46033</v>
      </c>
      <c r="C114">
        <v>50</v>
      </c>
      <c r="D114">
        <v>1</v>
      </c>
      <c r="E114">
        <f>C114*D114</f>
        <v>50</v>
      </c>
      <c r="F114" t="str">
        <v>Joy Sari-Sari Store:Sibuyas</v>
      </c>
      <c r="G114" t="str">
        <v>staff meals</v>
      </c>
    </row>
    <row r="115">
      <c r="B115">
        <v>46033</v>
      </c>
      <c r="C115">
        <v>105</v>
      </c>
      <c r="D115">
        <v>1</v>
      </c>
      <c r="E115">
        <f>C115*D115</f>
        <v>105</v>
      </c>
      <c r="F115" t="str">
        <v>Joy Sari-Sari Store:Baboy</v>
      </c>
      <c r="G115" t="str">
        <v>staff meals</v>
      </c>
    </row>
    <row r="116">
      <c r="B116">
        <v>46033</v>
      </c>
      <c r="C116">
        <v>18</v>
      </c>
      <c r="D116">
        <v>1</v>
      </c>
      <c r="E116">
        <f>C116*D116</f>
        <v>18</v>
      </c>
      <c r="F116" t="str">
        <v>Joy Sari-Sari Store:magic</v>
      </c>
      <c r="G116" t="str">
        <v>staff meals</v>
      </c>
    </row>
    <row r="117">
      <c r="B117">
        <v>46033</v>
      </c>
      <c r="C117">
        <v>130</v>
      </c>
      <c r="D117">
        <v>1</v>
      </c>
      <c r="E117">
        <f>C117*D117</f>
        <v>130</v>
      </c>
      <c r="F117" t="str">
        <v>Joy Sari-Sari Store:Kamatis</v>
      </c>
      <c r="G117" t="str">
        <v>breakfast</v>
      </c>
    </row>
    <row r="118">
      <c r="B118">
        <v>46033</v>
      </c>
      <c r="C118">
        <v>220</v>
      </c>
      <c r="D118">
        <v>1</v>
      </c>
      <c r="E118">
        <f>C118*D118</f>
        <v>220</v>
      </c>
      <c r="F118" t="str">
        <v>Joy Sari-Sari Store:Okra</v>
      </c>
      <c r="G118" t="str">
        <v>breakfast</v>
      </c>
    </row>
    <row r="119">
      <c r="B119">
        <v>46033</v>
      </c>
      <c r="C119">
        <v>60</v>
      </c>
      <c r="D119">
        <v>1</v>
      </c>
      <c r="E119">
        <f>C119*D119</f>
        <v>60</v>
      </c>
      <c r="F119" t="str">
        <v>Joy Sari-Sari Store:Leaks</v>
      </c>
      <c r="G119" t="str">
        <v>breakfast</v>
      </c>
    </row>
    <row r="120">
      <c r="B120">
        <v>46033</v>
      </c>
      <c r="C120">
        <f>540/2</f>
        <v>270</v>
      </c>
      <c r="D120">
        <v>2</v>
      </c>
      <c r="E120">
        <f>C120*D120</f>
        <v>540</v>
      </c>
      <c r="F120" t="str">
        <v>Joy Sari-Sari Store:Pakwan</v>
      </c>
      <c r="G120" t="str">
        <v>breakfast</v>
      </c>
    </row>
    <row r="121">
      <c r="B121">
        <v>46037</v>
      </c>
      <c r="C121">
        <v>45</v>
      </c>
      <c r="D121">
        <v>43</v>
      </c>
      <c r="E121">
        <f>C121*D121</f>
        <v>1935</v>
      </c>
      <c r="F121" t="str">
        <v>Beeperas: Water</v>
      </c>
      <c r="G121" t="str">
        <v>water</v>
      </c>
    </row>
    <row r="122">
      <c r="B122">
        <v>46038</v>
      </c>
      <c r="C122">
        <v>520</v>
      </c>
      <c r="D122">
        <v>1</v>
      </c>
      <c r="E122">
        <f>C122*D122</f>
        <v>520</v>
      </c>
      <c r="F122" t="str">
        <v>Joy Sari-Sari Store:Chicken</v>
      </c>
      <c r="G122" t="str">
        <v>staff meals</v>
      </c>
    </row>
    <row r="123">
      <c r="B123">
        <v>46038</v>
      </c>
      <c r="C123">
        <v>80</v>
      </c>
      <c r="D123">
        <v>1</v>
      </c>
      <c r="E123">
        <f>C123*D123</f>
        <v>80</v>
      </c>
      <c r="F123" t="str">
        <v>Joy Sari-Sari Store:Coco mama</v>
      </c>
      <c r="G123" t="str">
        <v>staff meals</v>
      </c>
    </row>
    <row r="124">
      <c r="B124">
        <v>46038</v>
      </c>
      <c r="C124">
        <v>28</v>
      </c>
      <c r="D124">
        <v>1</v>
      </c>
      <c r="E124">
        <f>C124*D124</f>
        <v>28</v>
      </c>
      <c r="F124" t="str">
        <v>Joy Sari-Sari Store:Patatas</v>
      </c>
      <c r="G124" t="str">
        <v>staff meals</v>
      </c>
    </row>
    <row r="125">
      <c r="B125">
        <v>46038</v>
      </c>
      <c r="C125">
        <v>17</v>
      </c>
      <c r="D125">
        <v>1</v>
      </c>
      <c r="E125">
        <f>C125*D125</f>
        <v>17</v>
      </c>
      <c r="F125" t="str">
        <v>Joy Sari-Sari Store:Carrots</v>
      </c>
      <c r="G125" t="str">
        <v>staff meals</v>
      </c>
    </row>
    <row r="126">
      <c r="B126">
        <v>46038</v>
      </c>
      <c r="C126">
        <v>15</v>
      </c>
      <c r="D126">
        <v>1</v>
      </c>
      <c r="E126">
        <f>C126*D126</f>
        <v>15</v>
      </c>
      <c r="F126" t="str">
        <v>Joy Sari-Sari Store:Chicken curry</v>
      </c>
      <c r="G126" t="str">
        <v>staff meals</v>
      </c>
    </row>
    <row r="127">
      <c r="B127">
        <v>46039</v>
      </c>
      <c r="C127">
        <v>2300</v>
      </c>
      <c r="D127">
        <v>1</v>
      </c>
      <c r="E127">
        <f>C127*D127</f>
        <v>2300</v>
      </c>
      <c r="F127" t="str">
        <v>Palengke: Daing</v>
      </c>
      <c r="G127" t="str">
        <v>staff meals</v>
      </c>
    </row>
    <row r="128">
      <c r="B128">
        <v>46039</v>
      </c>
      <c r="C128">
        <f>1450/6</f>
        <v>241.6666667</v>
      </c>
      <c r="D128">
        <v>6</v>
      </c>
      <c r="E128">
        <f>C128*D128</f>
        <v>1450</v>
      </c>
      <c r="F128" t="str">
        <v>Shopee: Diswashing liquid</v>
      </c>
      <c r="G128" t="str">
        <v>Kitchen</v>
      </c>
    </row>
    <row r="129">
      <c r="B129">
        <v>46039</v>
      </c>
      <c r="C129">
        <v>48</v>
      </c>
      <c r="D129">
        <v>1</v>
      </c>
      <c r="E129">
        <f>C129*D129</f>
        <v>48</v>
      </c>
      <c r="F129" t="str">
        <v>Joy Sari-Sari Store:Saba Banana</v>
      </c>
      <c r="G129" t="str">
        <v>breakfast</v>
      </c>
    </row>
    <row r="130">
      <c r="B130">
        <v>46039</v>
      </c>
      <c r="C130">
        <v>120</v>
      </c>
      <c r="D130">
        <v>1</v>
      </c>
      <c r="E130">
        <f>C130*D130</f>
        <v>120</v>
      </c>
      <c r="F130" t="str">
        <v>Joy Sari-Sari Store:Talong</v>
      </c>
      <c r="G130" t="str">
        <v>breakfast</v>
      </c>
    </row>
    <row r="131">
      <c r="B131">
        <v>46039</v>
      </c>
      <c r="C131">
        <v>175</v>
      </c>
      <c r="D131">
        <v>1</v>
      </c>
      <c r="E131">
        <f>C131*D131</f>
        <v>175</v>
      </c>
      <c r="F131" t="str">
        <v>Joy Sari-Sari Store:Lakatan</v>
      </c>
      <c r="G131" t="str">
        <v>breakfast</v>
      </c>
    </row>
    <row r="132">
      <c r="B132">
        <v>46039</v>
      </c>
      <c r="C132">
        <v>35</v>
      </c>
      <c r="D132">
        <v>1</v>
      </c>
      <c r="E132">
        <f>C132*D132</f>
        <v>35</v>
      </c>
      <c r="F132" t="str">
        <v>Joy Sari-Sari Store: Upo</v>
      </c>
      <c r="G132" t="str">
        <v>staff meals</v>
      </c>
    </row>
    <row r="133">
      <c r="B133">
        <v>46039</v>
      </c>
      <c r="C133">
        <v>614</v>
      </c>
      <c r="D133">
        <v>1</v>
      </c>
      <c r="E133">
        <f>C133*D133</f>
        <v>614</v>
      </c>
      <c r="F133" t="str">
        <v>Joy Sari-Sari Store:Bangus</v>
      </c>
      <c r="G133" t="str">
        <v>staff meals</v>
      </c>
    </row>
    <row r="134">
      <c r="B134">
        <v>46039</v>
      </c>
      <c r="C134">
        <v>56</v>
      </c>
      <c r="D134">
        <v>1</v>
      </c>
      <c r="E134">
        <f>C134*D134</f>
        <v>56</v>
      </c>
      <c r="F134" t="str">
        <v>Joy Sari-Sari Store:Mega Sardines</v>
      </c>
      <c r="G134" t="str">
        <v>staff meals</v>
      </c>
    </row>
    <row r="135">
      <c r="B135">
        <v>46039</v>
      </c>
      <c r="C135">
        <v>53</v>
      </c>
      <c r="D135">
        <v>94.35</v>
      </c>
      <c r="E135">
        <f>C135*D135</f>
        <v>5000.55</v>
      </c>
      <c r="F135" t="str">
        <v>Redmel Gas</v>
      </c>
      <c r="G135" t="str">
        <v>genset</v>
      </c>
    </row>
    <row r="136">
      <c r="B136">
        <v>46040</v>
      </c>
      <c r="C136">
        <v>315</v>
      </c>
      <c r="D136">
        <v>1</v>
      </c>
      <c r="E136">
        <f>C136*D136</f>
        <v>315</v>
      </c>
      <c r="F136" t="str">
        <v>Joy Sari-Sari Store:Pork</v>
      </c>
      <c r="G136" t="str">
        <v>staff meals</v>
      </c>
    </row>
    <row r="137">
      <c r="B137">
        <v>46040</v>
      </c>
      <c r="C137">
        <v>350</v>
      </c>
      <c r="D137">
        <v>1</v>
      </c>
      <c r="E137">
        <f>C137*D137</f>
        <v>350</v>
      </c>
      <c r="F137" t="str">
        <v>Joy Sari-Sari Store:Pang denuguan</v>
      </c>
      <c r="G137" t="str">
        <v>staff meals</v>
      </c>
    </row>
    <row r="138">
      <c r="B138">
        <v>46040</v>
      </c>
      <c r="C138">
        <v>20</v>
      </c>
      <c r="D138">
        <v>1</v>
      </c>
      <c r="E138">
        <f>C138*D138</f>
        <v>20</v>
      </c>
      <c r="F138" t="str">
        <v>Joy Sari-Sari Store:Sili</v>
      </c>
      <c r="G138" t="str">
        <v>staff meals</v>
      </c>
    </row>
    <row r="139">
      <c r="B139">
        <v>46040</v>
      </c>
      <c r="C139">
        <v>14</v>
      </c>
      <c r="D139">
        <v>1</v>
      </c>
      <c r="E139">
        <f>C139*D139</f>
        <v>14</v>
      </c>
      <c r="F139" t="str">
        <v>Joy Sari-Sari Store: Sibuyas</v>
      </c>
      <c r="G139" t="str">
        <v>staff meals</v>
      </c>
    </row>
    <row r="140">
      <c r="B140">
        <v>46040</v>
      </c>
      <c r="C140">
        <v>140</v>
      </c>
      <c r="D140">
        <v>1</v>
      </c>
      <c r="E140">
        <f>C140*D140</f>
        <v>140</v>
      </c>
      <c r="F140" t="str">
        <v>Joy Sari-Sari Store:Okra</v>
      </c>
      <c r="G140" t="str">
        <v>breakfast</v>
      </c>
    </row>
    <row r="141">
      <c r="B141">
        <v>46040</v>
      </c>
      <c r="C141">
        <v>100</v>
      </c>
      <c r="D141">
        <v>1</v>
      </c>
      <c r="E141">
        <f>C141*D141</f>
        <v>100</v>
      </c>
      <c r="F141" t="str">
        <v>Joy Sari-Sari Store:Kamatis</v>
      </c>
      <c r="G141" t="str">
        <v>breakfast</v>
      </c>
    </row>
    <row r="142">
      <c r="B142">
        <v>46040</v>
      </c>
      <c r="C142">
        <v>330</v>
      </c>
      <c r="D142">
        <v>1</v>
      </c>
      <c r="E142">
        <f>C142*D142</f>
        <v>330</v>
      </c>
      <c r="F142" t="str">
        <v>Joy Sari-Sari Store:Pakwan</v>
      </c>
      <c r="G142" t="str">
        <v>breakfast</v>
      </c>
    </row>
    <row r="143">
      <c r="B143">
        <v>46041</v>
      </c>
      <c r="C143">
        <v>185</v>
      </c>
      <c r="D143">
        <v>1</v>
      </c>
      <c r="E143">
        <f>C143*D143</f>
        <v>185</v>
      </c>
      <c r="F143" t="str">
        <v>Joy Sari-Sari Store:Lakatan</v>
      </c>
      <c r="G143" t="str">
        <v>breakfast</v>
      </c>
    </row>
    <row r="144">
      <c r="B144">
        <v>46042</v>
      </c>
      <c r="C144">
        <v>84.5</v>
      </c>
      <c r="D144">
        <v>1</v>
      </c>
      <c r="E144">
        <f>C144*D144</f>
        <v>84.5</v>
      </c>
      <c r="F144" t="str">
        <v>Puregold:Zonrox lemon</v>
      </c>
      <c r="G144" t="str">
        <v>laundry</v>
      </c>
    </row>
    <row r="145">
      <c r="B145">
        <v>46042</v>
      </c>
      <c r="C145">
        <v>150</v>
      </c>
      <c r="D145">
        <v>2</v>
      </c>
      <c r="E145">
        <f>C145*D145</f>
        <v>300</v>
      </c>
      <c r="F145" t="str">
        <v>Puregold:Zonrox lemon</v>
      </c>
      <c r="G145" t="str">
        <v>laundry</v>
      </c>
    </row>
    <row r="146">
      <c r="B146">
        <v>46042</v>
      </c>
      <c r="C146">
        <v>144.25</v>
      </c>
      <c r="D146">
        <v>3</v>
      </c>
      <c r="E146">
        <f>C146*D146</f>
        <v>432.75</v>
      </c>
      <c r="F146" t="str">
        <v>Puregold:Zonrox orig</v>
      </c>
      <c r="G146" t="str">
        <v>laundry</v>
      </c>
    </row>
    <row r="147">
      <c r="B147">
        <v>46042</v>
      </c>
      <c r="C147">
        <v>190</v>
      </c>
      <c r="D147">
        <v>5</v>
      </c>
      <c r="E147">
        <f>C147*D147</f>
        <v>950</v>
      </c>
      <c r="F147" t="str">
        <v>Puregold:Champion Powder</v>
      </c>
      <c r="G147" t="str">
        <v>laundry</v>
      </c>
    </row>
    <row r="148">
      <c r="B148">
        <v>46042</v>
      </c>
      <c r="C148">
        <v>190</v>
      </c>
      <c r="D148">
        <v>1</v>
      </c>
      <c r="E148">
        <f>C148*D148</f>
        <v>190</v>
      </c>
      <c r="F148" t="str">
        <v>Puregold:Champion Powder</v>
      </c>
      <c r="G148" t="str">
        <v>laundry</v>
      </c>
    </row>
    <row r="149">
      <c r="B149">
        <v>46042</v>
      </c>
      <c r="C149">
        <v>110</v>
      </c>
      <c r="D149">
        <v>1</v>
      </c>
      <c r="E149">
        <f>C149*D149</f>
        <v>110</v>
      </c>
      <c r="F149" t="str">
        <v>Joy Sari Sari Store: Butiki</v>
      </c>
      <c r="G149" t="str">
        <v>cleaning</v>
      </c>
    </row>
    <row r="150">
      <c r="B150">
        <v>46042</v>
      </c>
      <c r="C150">
        <v>150</v>
      </c>
      <c r="D150">
        <v>11</v>
      </c>
      <c r="E150">
        <f>C150*D150</f>
        <v>1650</v>
      </c>
      <c r="F150" t="str">
        <v>Tablea</v>
      </c>
      <c r="G150" t="str">
        <v>lunch/dinner</v>
      </c>
    </row>
    <row r="151">
      <c r="B151">
        <v>46042</v>
      </c>
      <c r="C151">
        <v>220</v>
      </c>
      <c r="D151">
        <v>5</v>
      </c>
      <c r="E151">
        <f>C151*D151</f>
        <v>1100</v>
      </c>
      <c r="F151" t="str">
        <v>Irene Medina: Egg</v>
      </c>
      <c r="G151" t="str">
        <v>breakfast</v>
      </c>
    </row>
    <row r="152">
      <c r="B152">
        <v>46042</v>
      </c>
      <c r="C152">
        <v>670</v>
      </c>
      <c r="D152">
        <v>1</v>
      </c>
      <c r="E152">
        <f>C152*D152</f>
        <v>670</v>
      </c>
      <c r="F152" t="str">
        <v>Bataan Gas Center</v>
      </c>
      <c r="G152" t="str">
        <v>Kitchen</v>
      </c>
    </row>
    <row r="153">
      <c r="B153">
        <v>46042</v>
      </c>
      <c r="C153">
        <v>120</v>
      </c>
      <c r="D153">
        <v>1</v>
      </c>
      <c r="E153">
        <f>C153*D153</f>
        <v>120</v>
      </c>
      <c r="F153" t="str">
        <v>Joy Sari-Sari Store:Talong</v>
      </c>
      <c r="G153" t="str">
        <v>breakfast</v>
      </c>
    </row>
    <row r="154">
      <c r="B154">
        <v>46042</v>
      </c>
      <c r="C154">
        <v>120</v>
      </c>
      <c r="D154">
        <v>1</v>
      </c>
      <c r="E154">
        <f>C154*D154</f>
        <v>120</v>
      </c>
      <c r="F154" t="str">
        <v>Joy Sari-Sari Store:Okra</v>
      </c>
      <c r="G154" t="str">
        <v>breakfast</v>
      </c>
    </row>
    <row r="155">
      <c r="B155">
        <v>46042</v>
      </c>
      <c r="C155">
        <v>250</v>
      </c>
      <c r="D155">
        <v>1</v>
      </c>
      <c r="E155">
        <f>C155*D155</f>
        <v>250</v>
      </c>
      <c r="F155" t="str">
        <v>Joy Sari-Sari Store:Lakatan</v>
      </c>
      <c r="G155" t="str">
        <v>breakfast</v>
      </c>
    </row>
    <row r="156">
      <c r="B156">
        <v>46045</v>
      </c>
      <c r="C156">
        <v>220</v>
      </c>
      <c r="D156">
        <v>4</v>
      </c>
      <c r="E156">
        <f>C156*D156</f>
        <v>880</v>
      </c>
      <c r="F156" t="str">
        <v>Irene Medina: Egg</v>
      </c>
      <c r="G156" t="str">
        <v>breakfast</v>
      </c>
    </row>
    <row r="157">
      <c r="B157">
        <v>46045</v>
      </c>
      <c r="C157">
        <v>675</v>
      </c>
      <c r="D157">
        <v>1</v>
      </c>
      <c r="E157">
        <f>C157*D157</f>
        <v>675</v>
      </c>
      <c r="F157" t="str">
        <v>Joy Sari-Sari Store:Chicken</v>
      </c>
      <c r="G157" t="str">
        <v>staff meals</v>
      </c>
    </row>
    <row r="158">
      <c r="B158">
        <v>46045</v>
      </c>
      <c r="C158">
        <v>23</v>
      </c>
      <c r="D158">
        <v>1</v>
      </c>
      <c r="E158">
        <f>C158*D158</f>
        <v>23</v>
      </c>
      <c r="F158" t="str">
        <v>Joy Sari-Sari Store:Bawang,sibuyas</v>
      </c>
      <c r="G158" t="str">
        <v>staff meals</v>
      </c>
    </row>
    <row r="159">
      <c r="B159">
        <v>46045</v>
      </c>
      <c r="C159">
        <v>600</v>
      </c>
      <c r="D159">
        <v>13</v>
      </c>
      <c r="E159">
        <f>C159*D159</f>
        <v>7800</v>
      </c>
      <c r="F159" t="str">
        <v>Batol Canlas Duagnostic Center: Medical Fee</v>
      </c>
      <c r="G159" t="str">
        <v>miscellaneous</v>
      </c>
    </row>
    <row r="160">
      <c r="B160">
        <v>46045</v>
      </c>
      <c r="C160">
        <v>200</v>
      </c>
      <c r="D160">
        <v>1</v>
      </c>
      <c r="E160">
        <f>C160*D160</f>
        <v>200</v>
      </c>
      <c r="F160" t="str">
        <v>Dionys :Pandesal</v>
      </c>
      <c r="G160" t="str">
        <v>breakfast</v>
      </c>
    </row>
    <row r="161">
      <c r="B161">
        <v>46046</v>
      </c>
      <c r="C161">
        <v>220</v>
      </c>
      <c r="D161">
        <v>1</v>
      </c>
      <c r="E161">
        <f>C161*D161</f>
        <v>220</v>
      </c>
      <c r="F161" t="str">
        <v>Joy Sari-Sari Store:Hatdog</v>
      </c>
      <c r="G161" t="str">
        <v>breakfast</v>
      </c>
    </row>
    <row r="162">
      <c r="B162">
        <v>46046</v>
      </c>
      <c r="C162">
        <v>120</v>
      </c>
      <c r="D162">
        <v>2</v>
      </c>
      <c r="E162">
        <f>C162*D162</f>
        <v>240</v>
      </c>
      <c r="F162" t="str">
        <v>Joy Sari-Sari Store:Talong</v>
      </c>
      <c r="G162" t="str">
        <v>breakfast</v>
      </c>
    </row>
    <row r="163">
      <c r="B163">
        <v>46046</v>
      </c>
      <c r="C163">
        <v>65</v>
      </c>
      <c r="D163">
        <v>2</v>
      </c>
      <c r="E163">
        <f>C163*D163</f>
        <v>130</v>
      </c>
      <c r="F163" t="str">
        <v>Joy Sari-Sari Store:Kamatis</v>
      </c>
      <c r="G163" t="str">
        <v>breakfast</v>
      </c>
    </row>
    <row r="164">
      <c r="B164">
        <v>46046</v>
      </c>
      <c r="C164">
        <v>60</v>
      </c>
      <c r="D164">
        <v>1</v>
      </c>
      <c r="E164">
        <f>C164*D164</f>
        <v>60</v>
      </c>
      <c r="F164" t="str">
        <v>Joy Sari-Sari Store:Leaks</v>
      </c>
      <c r="G164" t="str">
        <v>breakfast</v>
      </c>
    </row>
    <row r="165">
      <c r="B165">
        <v>46046</v>
      </c>
      <c r="C165">
        <v>450</v>
      </c>
      <c r="D165">
        <v>1</v>
      </c>
      <c r="E165">
        <f>C165*D165</f>
        <v>450</v>
      </c>
      <c r="F165" t="str">
        <v>Joy Sari-Sari Store:Lakatan</v>
      </c>
      <c r="G165" t="str">
        <v>breakfast</v>
      </c>
    </row>
    <row r="166">
      <c r="B166">
        <v>46046</v>
      </c>
      <c r="C166">
        <v>315</v>
      </c>
      <c r="D166">
        <v>1</v>
      </c>
      <c r="E166">
        <f>C166*D166</f>
        <v>315</v>
      </c>
      <c r="F166" t="str">
        <v>Joy Sari-Sari Store:Pork</v>
      </c>
      <c r="G166" t="str">
        <v>staff meals</v>
      </c>
    </row>
    <row r="167">
      <c r="B167">
        <v>46046</v>
      </c>
      <c r="C167">
        <v>230</v>
      </c>
      <c r="D167">
        <v>1</v>
      </c>
      <c r="E167">
        <f>C167*D167</f>
        <v>230</v>
      </c>
      <c r="F167" t="str">
        <v>Joy Sari-Sari Store:Pata</v>
      </c>
      <c r="G167" t="str">
        <v>staff meals</v>
      </c>
    </row>
    <row r="168">
      <c r="B168">
        <v>46046</v>
      </c>
      <c r="C168">
        <v>28</v>
      </c>
      <c r="D168">
        <v>1</v>
      </c>
      <c r="E168">
        <f>C168*D168</f>
        <v>28</v>
      </c>
      <c r="F168" t="str">
        <v>Joy Sari-Sari Store:Repolyo</v>
      </c>
      <c r="G168" t="str">
        <v>staff meals</v>
      </c>
    </row>
    <row r="169">
      <c r="B169">
        <v>46046</v>
      </c>
      <c r="C169">
        <v>30</v>
      </c>
      <c r="D169">
        <v>1</v>
      </c>
      <c r="E169">
        <f>C169*D169</f>
        <v>30</v>
      </c>
      <c r="F169" t="str">
        <v>Joy Sari-Sari Store:Petchay</v>
      </c>
      <c r="G169" t="str">
        <v>staff meals</v>
      </c>
    </row>
    <row r="170">
      <c r="B170">
        <v>46047</v>
      </c>
      <c r="C170">
        <v>120</v>
      </c>
      <c r="D170">
        <v>2</v>
      </c>
      <c r="E170">
        <f>C170*D170</f>
        <v>240</v>
      </c>
      <c r="F170" t="str">
        <v>Joy Sari-Sari Store:Okra</v>
      </c>
      <c r="G170" t="str">
        <v>breakfast</v>
      </c>
    </row>
    <row r="171">
      <c r="B171">
        <v>46047</v>
      </c>
      <c r="C171">
        <v>145</v>
      </c>
      <c r="D171">
        <v>1</v>
      </c>
      <c r="E171">
        <f>C171*D171</f>
        <v>145</v>
      </c>
      <c r="F171" t="str">
        <v>Joy Sari-Sari Store:Kamatis</v>
      </c>
      <c r="G171" t="str">
        <v>breakfast</v>
      </c>
    </row>
    <row r="172">
      <c r="B172">
        <v>46047</v>
      </c>
      <c r="C172">
        <v>650</v>
      </c>
      <c r="D172">
        <v>1</v>
      </c>
      <c r="E172">
        <f>C172*D172</f>
        <v>650</v>
      </c>
      <c r="F172" t="str">
        <v>Joy Sari-Sari Store:Pakwan</v>
      </c>
      <c r="G172" t="str">
        <v>breakfast</v>
      </c>
    </row>
    <row r="173">
      <c r="B173">
        <v>46047</v>
      </c>
      <c r="C173">
        <v>340</v>
      </c>
      <c r="D173">
        <v>1</v>
      </c>
      <c r="E173">
        <f>C173*D173</f>
        <v>340</v>
      </c>
      <c r="F173" t="str">
        <v>Joy Sari-Sari Store:Gigi</v>
      </c>
      <c r="G173" t="str">
        <v>staff meals</v>
      </c>
    </row>
    <row r="174">
      <c r="B174">
        <v>46047</v>
      </c>
      <c r="C174">
        <v>175</v>
      </c>
      <c r="D174">
        <v>1</v>
      </c>
      <c r="E174">
        <f>C174*D174</f>
        <v>175</v>
      </c>
      <c r="F174" t="str">
        <v>Joy Sari-Sari Store:Gulay</v>
      </c>
      <c r="G174" t="str">
        <v>staff meals</v>
      </c>
    </row>
    <row r="175">
      <c r="B175">
        <v>46047</v>
      </c>
      <c r="C175">
        <v>202</v>
      </c>
      <c r="D175">
        <v>1</v>
      </c>
      <c r="E175">
        <f>C175*D175</f>
        <v>202</v>
      </c>
      <c r="F175" t="str">
        <v>Joy Sari-Sari Store:Manok</v>
      </c>
      <c r="G175" t="str">
        <v>staff meals</v>
      </c>
    </row>
    <row r="176">
      <c r="B176">
        <v>46048</v>
      </c>
      <c r="C176">
        <v>250</v>
      </c>
      <c r="D176">
        <v>1</v>
      </c>
      <c r="E176">
        <f>C176*D176</f>
        <v>250</v>
      </c>
      <c r="F176" t="str">
        <v>Pandayan: Scotch Tape</v>
      </c>
      <c r="G176" t="str">
        <v>admin</v>
      </c>
    </row>
    <row r="177">
      <c r="B177">
        <v>46048</v>
      </c>
      <c r="C177">
        <v>250</v>
      </c>
      <c r="D177">
        <v>1</v>
      </c>
      <c r="E177">
        <f>C177*D177</f>
        <v>250</v>
      </c>
      <c r="F177" t="str">
        <v>Joy Sari-Sari Store:Fabric Conditioner</v>
      </c>
      <c r="G177" t="str">
        <v>laundry</v>
      </c>
    </row>
    <row r="178">
      <c r="B178">
        <v>46050</v>
      </c>
      <c r="C178">
        <v>220</v>
      </c>
      <c r="D178">
        <v>2</v>
      </c>
      <c r="E178">
        <f>C178*D178</f>
        <v>440</v>
      </c>
      <c r="F178" t="str">
        <v>Irene Medina: Egg</v>
      </c>
      <c r="G178" t="str">
        <v>breakfast</v>
      </c>
    </row>
    <row r="179">
      <c r="B179">
        <v>46050</v>
      </c>
      <c r="C179">
        <v>156.5</v>
      </c>
      <c r="D179">
        <v>60</v>
      </c>
      <c r="E179">
        <f>C179*D179</f>
        <v>9390</v>
      </c>
      <c r="F179" t="str">
        <v>Titas Special: Tocino</v>
      </c>
      <c r="G179" t="str">
        <v>breakfast</v>
      </c>
    </row>
    <row r="180">
      <c r="B180">
        <v>46050</v>
      </c>
      <c r="C180">
        <v>145.75</v>
      </c>
      <c r="D180">
        <v>60</v>
      </c>
      <c r="E180">
        <f>C180*D180</f>
        <v>8745</v>
      </c>
      <c r="F180" t="str">
        <v>Titas Special: Longganisa</v>
      </c>
      <c r="G180" t="str">
        <v>breakfast</v>
      </c>
    </row>
    <row r="181">
      <c r="B181">
        <v>46050</v>
      </c>
      <c r="C181">
        <v>1700</v>
      </c>
      <c r="D181">
        <v>2</v>
      </c>
      <c r="E181">
        <f>C181*D181</f>
        <v>3400</v>
      </c>
      <c r="F181" t="str">
        <v>Radio King: Baofeng Radio</v>
      </c>
      <c r="G181" t="str">
        <v>admin</v>
      </c>
    </row>
    <row r="182">
      <c r="B182">
        <v>46050</v>
      </c>
      <c r="C182">
        <v>129</v>
      </c>
      <c r="D182">
        <v>1</v>
      </c>
      <c r="E182">
        <f>C182*D182</f>
        <v>129</v>
      </c>
      <c r="F182" t="str">
        <v>Lalamove: Delivery Fee</v>
      </c>
      <c r="G182" t="str">
        <v>transpo</v>
      </c>
    </row>
    <row r="183">
      <c r="B183">
        <v>46052</v>
      </c>
      <c r="C183">
        <v>63017.5</v>
      </c>
      <c r="D183">
        <v>1</v>
      </c>
      <c r="E183">
        <f>C183*D183</f>
        <v>63017.5</v>
      </c>
      <c r="F183" t="str">
        <v>PENELCO</v>
      </c>
      <c r="G183" t="str">
        <v>electricity</v>
      </c>
    </row>
    <row r="184">
      <c r="B184">
        <v>46052</v>
      </c>
      <c r="C184">
        <v>3800</v>
      </c>
      <c r="D184">
        <v>1</v>
      </c>
      <c r="E184">
        <f>C184*D184</f>
        <v>3800</v>
      </c>
      <c r="F184" t="str">
        <v>Starlink</v>
      </c>
      <c r="G184" t="str">
        <v>internet</v>
      </c>
    </row>
    <row r="185">
      <c r="B185">
        <v>46052</v>
      </c>
      <c r="C185">
        <v>20</v>
      </c>
      <c r="D185">
        <v>285</v>
      </c>
      <c r="E185">
        <f>C185*D185</f>
        <v>5700</v>
      </c>
      <c r="F185" t="str">
        <v>Environmental Fee</v>
      </c>
      <c r="G185" t="str">
        <v>compliance</v>
      </c>
    </row>
    <row r="186">
      <c r="E186">
        <f>C186*D186</f>
        <v>0</v>
      </c>
    </row>
    <row r="187">
      <c r="E187">
        <f>C187*D187</f>
        <v>0</v>
      </c>
    </row>
    <row r="188">
      <c r="E188">
        <f>C188*D188</f>
        <v>0</v>
      </c>
    </row>
    <row r="189">
      <c r="E189">
        <f>C189*D189</f>
        <v>0</v>
      </c>
    </row>
    <row r="190">
      <c r="E190">
        <f>C190*D190</f>
        <v>0</v>
      </c>
    </row>
    <row r="191">
      <c r="E191">
        <f>C191*D191</f>
        <v>0</v>
      </c>
    </row>
    <row r="192">
      <c r="E192">
        <f>C192*D192</f>
        <v>0</v>
      </c>
    </row>
    <row r="193">
      <c r="E193">
        <f>C193*D193</f>
        <v>0</v>
      </c>
    </row>
    <row r="194">
      <c r="E194">
        <f>C194*D194</f>
        <v>0</v>
      </c>
    </row>
    <row r="195">
      <c r="E195">
        <f>C195*D195</f>
        <v>0</v>
      </c>
    </row>
    <row r="196">
      <c r="E196">
        <f>C196*D196</f>
        <v>0</v>
      </c>
    </row>
    <row r="197">
      <c r="E197">
        <f>C197*D197</f>
        <v>0</v>
      </c>
    </row>
    <row r="198">
      <c r="E198">
        <f>C198*D198</f>
        <v>0</v>
      </c>
    </row>
    <row r="199">
      <c r="E199">
        <f>C199*D199</f>
        <v>0</v>
      </c>
    </row>
    <row r="200">
      <c r="E200">
        <f>C200*D200</f>
        <v>0</v>
      </c>
    </row>
    <row r="201">
      <c r="E201">
        <f>C201*D201</f>
        <v>0</v>
      </c>
    </row>
    <row r="202">
      <c r="E202">
        <f>C202*D202</f>
        <v>0</v>
      </c>
    </row>
    <row r="203">
      <c r="E203">
        <f>C203*D203</f>
        <v>0</v>
      </c>
    </row>
    <row r="204">
      <c r="E204">
        <f>C204*D204</f>
        <v>0</v>
      </c>
    </row>
    <row r="205">
      <c r="E205">
        <f>C205*D205</f>
        <v>0</v>
      </c>
    </row>
    <row r="206">
      <c r="E206">
        <f>C206*D206</f>
        <v>0</v>
      </c>
    </row>
    <row r="207">
      <c r="E207">
        <f>C207*D207</f>
        <v>0</v>
      </c>
    </row>
    <row r="208">
      <c r="E208">
        <f>C208*D208</f>
        <v>0</v>
      </c>
    </row>
    <row r="209">
      <c r="E209">
        <f>C209*D209</f>
        <v>0</v>
      </c>
    </row>
    <row r="210">
      <c r="E210">
        <f>C210*D210</f>
        <v>0</v>
      </c>
    </row>
    <row r="211">
      <c r="E211">
        <f>C211*D211</f>
        <v>0</v>
      </c>
    </row>
    <row r="212">
      <c r="E212">
        <f>C212*D212</f>
        <v>0</v>
      </c>
    </row>
    <row r="213">
      <c r="E213">
        <f>C213*D213</f>
        <v>0</v>
      </c>
    </row>
    <row r="214">
      <c r="E214">
        <f>C214*D214</f>
        <v>0</v>
      </c>
    </row>
    <row r="215">
      <c r="E215">
        <f>C215*D215</f>
        <v>0</v>
      </c>
    </row>
    <row r="216">
      <c r="E216">
        <f>C216*D216</f>
        <v>0</v>
      </c>
    </row>
    <row r="217">
      <c r="E217">
        <f>C217*D217</f>
        <v>0</v>
      </c>
    </row>
    <row r="218">
      <c r="E218">
        <f>C218*D218</f>
        <v>0</v>
      </c>
    </row>
    <row r="219">
      <c r="E219">
        <f>C219*D219</f>
        <v>0</v>
      </c>
    </row>
    <row r="220">
      <c r="E220">
        <f>C220*D220</f>
        <v>0</v>
      </c>
    </row>
    <row r="221">
      <c r="E221">
        <f>C221*D221</f>
        <v>0</v>
      </c>
    </row>
    <row r="222">
      <c r="E222">
        <f>C222*D222</f>
        <v>0</v>
      </c>
    </row>
    <row r="223">
      <c r="E223">
        <f>C223*D223</f>
        <v>0</v>
      </c>
    </row>
    <row r="224">
      <c r="E224">
        <f>C224*D224</f>
        <v>0</v>
      </c>
    </row>
    <row r="225">
      <c r="E225">
        <f>C225*D225</f>
        <v>0</v>
      </c>
    </row>
    <row r="226">
      <c r="E226">
        <f>C226*D226</f>
        <v>0</v>
      </c>
    </row>
    <row r="227">
      <c r="E227">
        <f>C227*D227</f>
        <v>0</v>
      </c>
    </row>
    <row r="228">
      <c r="E228">
        <f>C228*D228</f>
        <v>0</v>
      </c>
    </row>
    <row r="229">
      <c r="E229">
        <f>C229*D229</f>
        <v>0</v>
      </c>
    </row>
    <row r="230">
      <c r="E230">
        <f>C230*D230</f>
        <v>0</v>
      </c>
    </row>
    <row r="231">
      <c r="E231">
        <f>C231*D231</f>
        <v>0</v>
      </c>
    </row>
    <row r="232">
      <c r="E232">
        <f>C232*D232</f>
        <v>0</v>
      </c>
    </row>
    <row r="233">
      <c r="E233">
        <f>C233*D233</f>
        <v>0</v>
      </c>
    </row>
    <row r="234">
      <c r="E234">
        <f>C234*D234</f>
        <v>0</v>
      </c>
    </row>
    <row r="235">
      <c r="E235">
        <f>C235*D235</f>
        <v>0</v>
      </c>
    </row>
    <row r="236">
      <c r="E236">
        <f>C236*D236</f>
        <v>0</v>
      </c>
    </row>
    <row r="237">
      <c r="E237">
        <f>C237*D237</f>
        <v>0</v>
      </c>
    </row>
    <row r="238">
      <c r="E238">
        <f>C238*D238</f>
        <v>0</v>
      </c>
    </row>
    <row r="239">
      <c r="E239">
        <f>C239*D239</f>
        <v>0</v>
      </c>
    </row>
    <row r="240">
      <c r="E240">
        <f>C240*D240</f>
        <v>0</v>
      </c>
    </row>
    <row r="241">
      <c r="E241">
        <f>C241*D241</f>
        <v>0</v>
      </c>
    </row>
    <row r="242">
      <c r="E242">
        <f>C242*D242</f>
        <v>0</v>
      </c>
    </row>
    <row r="243">
      <c r="E243">
        <f>C243*D243</f>
        <v>0</v>
      </c>
    </row>
    <row r="244">
      <c r="E244">
        <f>C244*D244</f>
        <v>0</v>
      </c>
    </row>
    <row r="245">
      <c r="E245">
        <f>C245*D245</f>
        <v>0</v>
      </c>
    </row>
    <row r="246">
      <c r="E246">
        <f>C246*D246</f>
        <v>0</v>
      </c>
    </row>
    <row r="247">
      <c r="E247">
        <f>C247*D247</f>
        <v>0</v>
      </c>
    </row>
    <row r="248">
      <c r="E248">
        <f>C248*D248</f>
        <v>0</v>
      </c>
    </row>
    <row r="249">
      <c r="E249">
        <f>C249*D249</f>
        <v>0</v>
      </c>
    </row>
    <row r="250">
      <c r="E250">
        <f>C250*D250</f>
        <v>0</v>
      </c>
    </row>
    <row r="251">
      <c r="E251">
        <f>C251*D251</f>
        <v>0</v>
      </c>
    </row>
    <row r="252">
      <c r="E252">
        <f>C252*D252</f>
        <v>0</v>
      </c>
    </row>
    <row r="253">
      <c r="E253">
        <f>C253*D253</f>
        <v>0</v>
      </c>
    </row>
    <row r="254">
      <c r="E254">
        <f>C254*D254</f>
        <v>0</v>
      </c>
    </row>
    <row r="255">
      <c r="E255">
        <f>C255*D255</f>
        <v>0</v>
      </c>
    </row>
    <row r="256">
      <c r="E256">
        <f>C256*D256</f>
        <v>0</v>
      </c>
    </row>
    <row r="257">
      <c r="E257">
        <f>C257*D257</f>
        <v>0</v>
      </c>
    </row>
    <row r="258">
      <c r="E258">
        <f>C258*D258</f>
        <v>0</v>
      </c>
    </row>
    <row r="259">
      <c r="E259">
        <f>C259*D259</f>
        <v>0</v>
      </c>
    </row>
    <row r="260">
      <c r="E260">
        <f>C260*D260</f>
        <v>0</v>
      </c>
    </row>
    <row r="261">
      <c r="E261">
        <f>C261*D261</f>
        <v>0</v>
      </c>
    </row>
    <row r="262">
      <c r="E262">
        <f>C262*D262</f>
        <v>0</v>
      </c>
    </row>
    <row r="263">
      <c r="E263">
        <f>C263*D263</f>
        <v>0</v>
      </c>
    </row>
    <row r="264">
      <c r="E264">
        <f>C264*D264</f>
        <v>0</v>
      </c>
    </row>
    <row r="265">
      <c r="E265">
        <f>C265*D265</f>
        <v>0</v>
      </c>
    </row>
    <row r="266">
      <c r="E266">
        <f>C266*D266</f>
        <v>0</v>
      </c>
    </row>
    <row r="267">
      <c r="E267">
        <f>C267*D267</f>
        <v>0</v>
      </c>
    </row>
    <row r="268">
      <c r="E268">
        <f>C268*D268</f>
        <v>0</v>
      </c>
    </row>
    <row r="269">
      <c r="E269">
        <f>C269*D269</f>
        <v>0</v>
      </c>
    </row>
    <row r="270">
      <c r="E270">
        <f>C270*D270</f>
        <v>0</v>
      </c>
    </row>
    <row r="271">
      <c r="E271">
        <f>C271*D271</f>
        <v>0</v>
      </c>
    </row>
    <row r="272">
      <c r="E272">
        <f>C272*D272</f>
        <v>0</v>
      </c>
    </row>
    <row r="273">
      <c r="E273">
        <f>C273*D273</f>
        <v>0</v>
      </c>
    </row>
    <row r="274">
      <c r="E274">
        <f>C274*D274</f>
        <v>0</v>
      </c>
    </row>
    <row r="275">
      <c r="E275">
        <f>C275*D275</f>
        <v>0</v>
      </c>
    </row>
    <row r="276">
      <c r="E276">
        <f>C276*D276</f>
        <v>0</v>
      </c>
    </row>
    <row r="277">
      <c r="E277">
        <f>C277*D277</f>
        <v>0</v>
      </c>
    </row>
    <row r="278">
      <c r="E278">
        <f>C278*D278</f>
        <v>0</v>
      </c>
    </row>
    <row r="279">
      <c r="E279">
        <f>C279*D279</f>
        <v>0</v>
      </c>
    </row>
    <row r="280">
      <c r="E280">
        <f>C280*D280</f>
        <v>0</v>
      </c>
    </row>
    <row r="281">
      <c r="E281">
        <f>C281*D281</f>
        <v>0</v>
      </c>
    </row>
    <row r="282">
      <c r="E282">
        <f>C282*D282</f>
        <v>0</v>
      </c>
    </row>
    <row r="283">
      <c r="E283">
        <f>C283*D283</f>
        <v>0</v>
      </c>
    </row>
    <row r="284">
      <c r="E284">
        <f>C284*D284</f>
        <v>0</v>
      </c>
    </row>
    <row r="285">
      <c r="E285">
        <f>C285*D285</f>
        <v>0</v>
      </c>
    </row>
    <row r="286">
      <c r="E286">
        <f>C286*D286</f>
        <v>0</v>
      </c>
    </row>
    <row r="287">
      <c r="E287">
        <f>C287*D287</f>
        <v>0</v>
      </c>
    </row>
    <row r="288">
      <c r="E288">
        <f>C288*D288</f>
        <v>0</v>
      </c>
    </row>
    <row r="289">
      <c r="E289">
        <f>C289*D289</f>
        <v>0</v>
      </c>
    </row>
    <row r="290">
      <c r="E290">
        <f>C290*D290</f>
        <v>0</v>
      </c>
    </row>
    <row r="291">
      <c r="E291">
        <f>C291*D291</f>
        <v>0</v>
      </c>
    </row>
    <row r="292">
      <c r="E292">
        <f>C292*D292</f>
        <v>0</v>
      </c>
    </row>
    <row r="293">
      <c r="E293">
        <f>C293*D293</f>
        <v>0</v>
      </c>
    </row>
    <row r="294">
      <c r="E294">
        <f>C294*D294</f>
        <v>0</v>
      </c>
    </row>
    <row r="295">
      <c r="E295">
        <f>C295*D295</f>
        <v>0</v>
      </c>
    </row>
    <row r="296">
      <c r="E296">
        <f>C296*D296</f>
        <v>0</v>
      </c>
    </row>
    <row r="297">
      <c r="E297">
        <f>C297*D297</f>
        <v>0</v>
      </c>
    </row>
    <row r="298">
      <c r="E298">
        <f>C298*D298</f>
        <v>0</v>
      </c>
    </row>
    <row r="299">
      <c r="E299">
        <f>C299*D299</f>
        <v>0</v>
      </c>
    </row>
    <row r="300">
      <c r="E300">
        <f>C300*D300</f>
        <v>0</v>
      </c>
    </row>
    <row r="301">
      <c r="E301">
        <f>C301*D301</f>
        <v>0</v>
      </c>
    </row>
    <row r="302">
      <c r="E302">
        <f>C302*D302</f>
        <v>0</v>
      </c>
    </row>
    <row r="303">
      <c r="E303">
        <f>C303*D303</f>
        <v>0</v>
      </c>
    </row>
    <row r="304">
      <c r="E304">
        <f>C304*D304</f>
        <v>0</v>
      </c>
    </row>
    <row r="305">
      <c r="E305">
        <f>C305*D305</f>
        <v>0</v>
      </c>
    </row>
    <row r="306">
      <c r="E306">
        <f>C306*D306</f>
        <v>0</v>
      </c>
    </row>
    <row r="307">
      <c r="E307">
        <f>C307*D307</f>
        <v>0</v>
      </c>
    </row>
    <row r="308">
      <c r="E308">
        <f>C308*D308</f>
        <v>0</v>
      </c>
    </row>
    <row r="309">
      <c r="E309">
        <f>C309*D309</f>
        <v>0</v>
      </c>
    </row>
    <row r="310">
      <c r="E310">
        <f>C310*D310</f>
        <v>0</v>
      </c>
    </row>
    <row r="311">
      <c r="E311">
        <f>C311*D311</f>
        <v>0</v>
      </c>
    </row>
    <row r="312">
      <c r="E312">
        <f>C312*D312</f>
        <v>0</v>
      </c>
    </row>
    <row r="313">
      <c r="E313">
        <f>C313*D313</f>
        <v>0</v>
      </c>
    </row>
    <row r="314">
      <c r="E314">
        <f>C314*D314</f>
        <v>0</v>
      </c>
    </row>
    <row r="315">
      <c r="E315">
        <f>C315*D315</f>
        <v>0</v>
      </c>
    </row>
    <row r="316">
      <c r="E316">
        <f>C316*D316</f>
        <v>0</v>
      </c>
    </row>
    <row r="317">
      <c r="E317">
        <f>C317*D317</f>
        <v>0</v>
      </c>
    </row>
    <row r="318">
      <c r="E318">
        <f>C318*D318</f>
        <v>0</v>
      </c>
    </row>
    <row r="319">
      <c r="E319">
        <f>C319*D319</f>
        <v>0</v>
      </c>
    </row>
    <row r="320">
      <c r="E320">
        <f>C320*D320</f>
        <v>0</v>
      </c>
    </row>
    <row r="321">
      <c r="E321">
        <f>C321*D321</f>
        <v>0</v>
      </c>
    </row>
    <row r="322">
      <c r="E322">
        <f>C322*D322</f>
        <v>0</v>
      </c>
    </row>
    <row r="323">
      <c r="E323">
        <f>C323*D323</f>
        <v>0</v>
      </c>
    </row>
    <row r="324">
      <c r="E324">
        <f>C324*D324</f>
        <v>0</v>
      </c>
    </row>
    <row r="325">
      <c r="E325">
        <f>C325*D325</f>
        <v>0</v>
      </c>
    </row>
    <row r="326">
      <c r="E326">
        <f>C326*D326</f>
        <v>0</v>
      </c>
    </row>
    <row r="327">
      <c r="E327">
        <f>C327*D327</f>
        <v>0</v>
      </c>
    </row>
    <row r="328">
      <c r="E328">
        <f>C328*D328</f>
        <v>0</v>
      </c>
    </row>
    <row r="329">
      <c r="E329">
        <f>C329*D329</f>
        <v>0</v>
      </c>
    </row>
    <row r="330">
      <c r="E330">
        <f>C330*D330</f>
        <v>0</v>
      </c>
    </row>
    <row r="331">
      <c r="E331">
        <f>C331*D331</f>
        <v>0</v>
      </c>
    </row>
    <row r="332">
      <c r="E332">
        <f>C332*D332</f>
        <v>0</v>
      </c>
    </row>
    <row r="333">
      <c r="E333">
        <f>C333*D333</f>
        <v>0</v>
      </c>
    </row>
    <row r="334">
      <c r="E334">
        <f>C334*D334</f>
        <v>0</v>
      </c>
    </row>
  </sheetData>
  <pageMargins left="0.7" right="0.7" top="0.75" bottom="0.75" header="0" footer="0"/>
  <ignoredErrors>
    <ignoredError numberStoredAsText="1" sqref="A1:Z12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207"/>
  <sheetViews>
    <sheetView workbookViewId="0" rightToLeft="0"/>
  </sheetViews>
  <sheetData>
    <row r="1">
      <c r="A1" t="str">
        <v xml:space="preserve">    </v>
      </c>
    </row>
    <row r="2">
      <c r="E2">
        <f>SUM(E4:E1206)</f>
        <v>131206.21</v>
      </c>
      <c r="K2">
        <f>SUM(K4:K31)</f>
        <v>131206.21</v>
      </c>
    </row>
    <row r="3">
      <c r="B3" t="str">
        <v>date</v>
      </c>
      <c r="C3" t="str">
        <v>unit price</v>
      </c>
      <c r="D3" t="str">
        <v>qtty</v>
      </c>
      <c r="E3" t="str">
        <v>total</v>
      </c>
      <c r="H3" t="str">
        <v>anomalies</v>
      </c>
      <c r="I3" t="str">
        <v xml:space="preserve">   </v>
      </c>
      <c r="J3" t="str">
        <v>category</v>
      </c>
      <c r="K3" t="str">
        <v>amount</v>
      </c>
      <c r="M3" t="str">
        <v>ave daily</v>
      </c>
    </row>
    <row r="4">
      <c r="B4">
        <v>46054</v>
      </c>
      <c r="C4">
        <f>450/3</f>
        <v>150</v>
      </c>
      <c r="D4">
        <v>3</v>
      </c>
      <c r="E4">
        <f>C4*D4</f>
        <v>450</v>
      </c>
      <c r="F4" t="str">
        <v>Joy Sari-Sari Store:Tilapia</v>
      </c>
      <c r="G4" t="str">
        <v>staff meals</v>
      </c>
      <c r="I4">
        <v>1</v>
      </c>
      <c r="J4" t="str">
        <v>admin</v>
      </c>
      <c r="K4">
        <f>SUMIF($G:G,J4,$E:E)</f>
        <v>0</v>
      </c>
      <c r="L4">
        <f>K4/$K$2</f>
        <v>0</v>
      </c>
      <c r="M4">
        <f>K4/31</f>
        <v>0</v>
      </c>
    </row>
    <row r="5">
      <c r="B5">
        <v>46054</v>
      </c>
      <c r="C5">
        <v>30</v>
      </c>
      <c r="D5">
        <v>2</v>
      </c>
      <c r="E5">
        <f>C5*D5</f>
        <v>60</v>
      </c>
      <c r="F5" t="str">
        <v>Joy Sari-Sari Store:Gulay</v>
      </c>
      <c r="G5" t="str">
        <v>staff meals</v>
      </c>
      <c r="I5">
        <v>2</v>
      </c>
      <c r="J5" t="str">
        <v>breakfast</v>
      </c>
      <c r="K5">
        <f>SUMIF($G:G,J5,$E:E)</f>
        <v>3621</v>
      </c>
      <c r="L5">
        <f>K5/$K$2</f>
        <v>0.0275977791</v>
      </c>
      <c r="M5">
        <f>K5/31</f>
        <v>116.8064516</v>
      </c>
    </row>
    <row r="6">
      <c r="B6">
        <v>46054</v>
      </c>
      <c r="C6">
        <v>25</v>
      </c>
      <c r="D6">
        <v>2</v>
      </c>
      <c r="E6">
        <f>C6*D6</f>
        <v>50</v>
      </c>
      <c r="F6" t="str">
        <v>Joy Sari-Sari Store:Sitaw</v>
      </c>
      <c r="G6" t="str">
        <v>staff meals</v>
      </c>
      <c r="I6">
        <v>3</v>
      </c>
      <c r="J6" t="str">
        <v>cellphone</v>
      </c>
      <c r="K6">
        <f>SUMIF($G:G,J6,$E:E)</f>
        <v>0</v>
      </c>
      <c r="L6">
        <f>K6/$K$2</f>
        <v>0</v>
      </c>
      <c r="M6">
        <f>K6/31</f>
        <v>0</v>
      </c>
    </row>
    <row r="7">
      <c r="B7">
        <v>46054</v>
      </c>
      <c r="C7">
        <v>15</v>
      </c>
      <c r="D7">
        <v>2</v>
      </c>
      <c r="E7">
        <f>C7*D7</f>
        <v>30</v>
      </c>
      <c r="F7" t="str">
        <v>Joy Sari-Sari Store:Okra</v>
      </c>
      <c r="G7" t="str">
        <v>staff meals</v>
      </c>
      <c r="I7">
        <v>4</v>
      </c>
      <c r="J7" t="str">
        <v>cleaning</v>
      </c>
      <c r="K7">
        <f>SUMIF($G:G,J7,$E:E)</f>
        <v>55423.62</v>
      </c>
      <c r="L7">
        <f>K7/$K$2</f>
        <v>0.4224161341</v>
      </c>
      <c r="M7">
        <f>K7/31</f>
        <v>1787.85871</v>
      </c>
    </row>
    <row r="8">
      <c r="B8">
        <v>46054</v>
      </c>
      <c r="C8">
        <v>20</v>
      </c>
      <c r="D8">
        <v>1</v>
      </c>
      <c r="E8">
        <f>C8*D8</f>
        <v>20</v>
      </c>
      <c r="F8" t="str">
        <v>Joy Sari-Sari Store: Sinigang mix</v>
      </c>
      <c r="G8" t="str">
        <v>staff meals</v>
      </c>
      <c r="I8">
        <v>5</v>
      </c>
      <c r="J8" t="str">
        <v>coffee</v>
      </c>
      <c r="K8">
        <f>SUMIF($G:G,J8,$E:E)</f>
        <v>0</v>
      </c>
      <c r="L8">
        <f>K8/$K$2</f>
        <v>0</v>
      </c>
      <c r="M8">
        <f>K8/31</f>
        <v>0</v>
      </c>
    </row>
    <row r="9">
      <c r="B9">
        <v>46054</v>
      </c>
      <c r="C9">
        <v>6</v>
      </c>
      <c r="D9">
        <v>2</v>
      </c>
      <c r="E9">
        <f>C9*D9</f>
        <v>12</v>
      </c>
      <c r="F9" t="str">
        <v>Joy Sari-Sari Store:Magic Sarap</v>
      </c>
      <c r="G9" t="str">
        <v>staff meals</v>
      </c>
      <c r="I9">
        <v>6</v>
      </c>
      <c r="J9" t="str">
        <v>compliance</v>
      </c>
      <c r="K9">
        <f>SUMIF($G:G,J9,$E:E)</f>
        <v>3120</v>
      </c>
      <c r="L9">
        <f>K9/$K$2</f>
        <v>0.02377936227</v>
      </c>
      <c r="M9">
        <f>K9/31</f>
        <v>100.6451613</v>
      </c>
    </row>
    <row r="10">
      <c r="B10">
        <v>46054</v>
      </c>
      <c r="C10">
        <v>10</v>
      </c>
      <c r="D10">
        <v>2</v>
      </c>
      <c r="E10">
        <f>C10*D10</f>
        <v>20</v>
      </c>
      <c r="F10" t="str">
        <v>Joy Sari-Sari Store:Kamatis</v>
      </c>
      <c r="G10" t="str">
        <v>staff meals</v>
      </c>
      <c r="I10">
        <v>7</v>
      </c>
      <c r="J10" t="str">
        <v>donation</v>
      </c>
      <c r="K10">
        <f>SUMIF($G:G,J10,$E:E)</f>
        <v>0</v>
      </c>
      <c r="L10">
        <f>K10/$K$2</f>
        <v>0</v>
      </c>
      <c r="M10">
        <f>K10/31</f>
        <v>0</v>
      </c>
    </row>
    <row r="11">
      <c r="B11">
        <v>46054</v>
      </c>
      <c r="C11">
        <v>50</v>
      </c>
      <c r="D11">
        <v>1</v>
      </c>
      <c r="E11">
        <f>C11*D11</f>
        <v>50</v>
      </c>
      <c r="F11" t="str">
        <v>Joy Sari-Sari Store:Talong</v>
      </c>
      <c r="G11" t="str">
        <v>staff meals</v>
      </c>
      <c r="I11">
        <v>8</v>
      </c>
      <c r="J11" t="str">
        <v>electricity</v>
      </c>
      <c r="K11">
        <f>SUMIF($G:G,J11,$E:E)</f>
        <v>42819.89</v>
      </c>
      <c r="L11">
        <f>K11/$K$2</f>
        <v>0.3263556656</v>
      </c>
      <c r="M11">
        <f>K11/31</f>
        <v>1381.286774</v>
      </c>
    </row>
    <row r="12">
      <c r="B12">
        <v>46055</v>
      </c>
      <c r="C12">
        <v>38</v>
      </c>
      <c r="D12">
        <v>1</v>
      </c>
      <c r="E12">
        <f>C12*D12</f>
        <v>38</v>
      </c>
      <c r="F12" t="str">
        <v>Joy Sari-Sari Store:Lemon</v>
      </c>
      <c r="G12" t="str">
        <v>breakfast</v>
      </c>
      <c r="I12">
        <v>9</v>
      </c>
      <c r="J12" t="str">
        <v>extra staff</v>
      </c>
      <c r="K12">
        <f>SUMIF($G:G,J12,$E:E)</f>
        <v>0</v>
      </c>
      <c r="L12">
        <f>K12/$K$2</f>
        <v>0</v>
      </c>
      <c r="M12">
        <f>K12/31</f>
        <v>0</v>
      </c>
    </row>
    <row r="13">
      <c r="B13">
        <v>46055</v>
      </c>
      <c r="C13">
        <v>100</v>
      </c>
      <c r="D13">
        <v>1</v>
      </c>
      <c r="E13">
        <f>C13*D13</f>
        <v>100</v>
      </c>
      <c r="F13" t="str">
        <v>Joy Sari-Sari Store:Talong</v>
      </c>
      <c r="G13" t="str">
        <v>breakfast</v>
      </c>
      <c r="I13">
        <v>10</v>
      </c>
      <c r="J13" t="str">
        <v>garden</v>
      </c>
      <c r="K13">
        <f>SUMIF($G:G,J13,$E:E)</f>
        <v>0</v>
      </c>
      <c r="L13">
        <f>K13/$K$2</f>
        <v>0</v>
      </c>
      <c r="M13">
        <f>K13/31</f>
        <v>0</v>
      </c>
    </row>
    <row r="14">
      <c r="B14">
        <v>46055</v>
      </c>
      <c r="C14">
        <v>150</v>
      </c>
      <c r="D14">
        <v>1</v>
      </c>
      <c r="E14">
        <f>C14*D14</f>
        <v>150</v>
      </c>
      <c r="F14" t="str">
        <v>Joy Sari-Sari Store:Okra</v>
      </c>
      <c r="G14" t="str">
        <v>breakfast</v>
      </c>
      <c r="I14">
        <v>11</v>
      </c>
      <c r="J14" t="str">
        <v>genset</v>
      </c>
      <c r="K14">
        <f>SUMIF($G:G,J14,$E:E)</f>
        <v>0</v>
      </c>
      <c r="L14">
        <f>K14/$K$2</f>
        <v>0</v>
      </c>
      <c r="M14">
        <f>K14/31</f>
        <v>0</v>
      </c>
    </row>
    <row r="15">
      <c r="B15">
        <v>46055</v>
      </c>
      <c r="C15">
        <v>30</v>
      </c>
      <c r="D15">
        <v>2</v>
      </c>
      <c r="E15">
        <f>C15*D15</f>
        <v>60</v>
      </c>
      <c r="F15" t="str">
        <v>Joy Sari-Sari Store:Asin</v>
      </c>
      <c r="G15" t="str">
        <v>breakfast</v>
      </c>
      <c r="I15">
        <v>12</v>
      </c>
      <c r="J15" t="str">
        <v>horse</v>
      </c>
      <c r="K15">
        <f>SUMIF($G:G,J15,$E:E)</f>
        <v>0</v>
      </c>
      <c r="L15">
        <f>K15/$K$2</f>
        <v>0</v>
      </c>
      <c r="M15">
        <f>K15/31</f>
        <v>0</v>
      </c>
    </row>
    <row r="16">
      <c r="B16">
        <v>46055</v>
      </c>
      <c r="C16">
        <v>45</v>
      </c>
      <c r="D16">
        <v>2</v>
      </c>
      <c r="E16">
        <f>C16*D16</f>
        <v>90</v>
      </c>
      <c r="F16" t="str">
        <v>Joy Sari-Sari Store:Apple</v>
      </c>
      <c r="G16" t="str">
        <v>breakfast</v>
      </c>
      <c r="I16">
        <v>13</v>
      </c>
      <c r="J16" t="str">
        <v>internet</v>
      </c>
      <c r="K16">
        <f>SUMIF($G:G,J16,$E:E)</f>
        <v>3800</v>
      </c>
      <c r="L16">
        <f>K16/$K$2</f>
        <v>0.02896204379</v>
      </c>
      <c r="M16">
        <f>K16/31</f>
        <v>122.5806452</v>
      </c>
    </row>
    <row r="17">
      <c r="B17">
        <v>46059</v>
      </c>
      <c r="C17">
        <f>428/4</f>
        <v>107</v>
      </c>
      <c r="D17">
        <v>4</v>
      </c>
      <c r="E17">
        <f>C17*D17</f>
        <v>428</v>
      </c>
      <c r="F17" t="str">
        <v>Joy Sari-Sari Store:Pakwan</v>
      </c>
      <c r="G17" t="str">
        <v>breakfast</v>
      </c>
      <c r="I17">
        <v>14</v>
      </c>
      <c r="J17" t="str">
        <v>kitchen</v>
      </c>
      <c r="K17">
        <f>SUMIF($G:G,J17,$E:E)</f>
        <v>5716.75</v>
      </c>
      <c r="L17">
        <f>K17/$K$2</f>
        <v>0.04357072733</v>
      </c>
      <c r="M17">
        <f>K17/31</f>
        <v>184.4112903</v>
      </c>
    </row>
    <row r="18">
      <c r="B18">
        <v>46059</v>
      </c>
      <c r="C18">
        <v>170</v>
      </c>
      <c r="D18">
        <v>1</v>
      </c>
      <c r="E18">
        <f>C18*D18</f>
        <v>170</v>
      </c>
      <c r="F18" t="str">
        <v>Joy Sari-Sari Store:Lakatan</v>
      </c>
      <c r="G18" t="str">
        <v>breakfast</v>
      </c>
      <c r="I18">
        <v>15</v>
      </c>
      <c r="J18" t="str">
        <v>laundry</v>
      </c>
      <c r="K18">
        <f>SUMIF($G:G,J18,$E:E)</f>
        <v>0</v>
      </c>
      <c r="L18">
        <f>K18/$K$2</f>
        <v>0</v>
      </c>
      <c r="M18">
        <f>K18/31</f>
        <v>0</v>
      </c>
    </row>
    <row r="19">
      <c r="B19">
        <v>46059</v>
      </c>
      <c r="C19">
        <v>650</v>
      </c>
      <c r="D19">
        <v>1</v>
      </c>
      <c r="E19">
        <f>C19*D19</f>
        <v>650</v>
      </c>
      <c r="F19" t="str">
        <v>Joy Sari-Sari Store:Chicken</v>
      </c>
      <c r="G19" t="str">
        <v>staff meals</v>
      </c>
      <c r="I19">
        <v>16</v>
      </c>
      <c r="J19" t="str">
        <v>linens/towels</v>
      </c>
      <c r="K19">
        <f>SUMIF($G:G,J19,$E:E)</f>
        <v>0</v>
      </c>
      <c r="L19">
        <f>K19/$K$2</f>
        <v>0</v>
      </c>
      <c r="M19">
        <f>K19/31</f>
        <v>0</v>
      </c>
    </row>
    <row r="20">
      <c r="B20">
        <v>46059</v>
      </c>
      <c r="C20">
        <v>27</v>
      </c>
      <c r="D20">
        <v>1</v>
      </c>
      <c r="E20">
        <f>C20*D20</f>
        <v>27</v>
      </c>
      <c r="F20" t="str">
        <v>Joy Sari-Sari Store:luya</v>
      </c>
      <c r="G20" t="str">
        <v>staff meals</v>
      </c>
      <c r="I20">
        <v>17</v>
      </c>
      <c r="J20" t="str">
        <v>lunch/dinner</v>
      </c>
      <c r="K20">
        <f>SUMIF($G:G,J20,$E:E)</f>
        <v>6160.95</v>
      </c>
      <c r="L20">
        <f>K20/$K$2</f>
        <v>0.04695623782</v>
      </c>
      <c r="M20">
        <f>K20/31</f>
        <v>198.7403226</v>
      </c>
    </row>
    <row r="21">
      <c r="B21">
        <v>46059</v>
      </c>
      <c r="C21">
        <v>12</v>
      </c>
      <c r="D21">
        <v>1</v>
      </c>
      <c r="E21">
        <f>C21*D21</f>
        <v>12</v>
      </c>
      <c r="F21" t="str">
        <v>Joy Sari-Sari Store:Sibuyas</v>
      </c>
      <c r="G21" t="str">
        <v>staff meals</v>
      </c>
      <c r="I21">
        <v>18</v>
      </c>
      <c r="J21" t="str">
        <v>maintenance</v>
      </c>
      <c r="K21">
        <f>SUMIF($G:G,J21,$E:E)</f>
        <v>0</v>
      </c>
      <c r="L21">
        <f>K21/$K$2</f>
        <v>0</v>
      </c>
      <c r="M21">
        <f>K21/31</f>
        <v>0</v>
      </c>
    </row>
    <row r="22">
      <c r="B22">
        <v>46059</v>
      </c>
      <c r="C22">
        <v>10</v>
      </c>
      <c r="D22">
        <v>1</v>
      </c>
      <c r="E22">
        <f>C22*D22</f>
        <v>10</v>
      </c>
      <c r="F22" t="str">
        <v>Joy Sari-Sari Store:Betsin</v>
      </c>
      <c r="G22" t="str">
        <v>staff meals</v>
      </c>
      <c r="I22">
        <v>19</v>
      </c>
      <c r="J22" t="str">
        <v>meal</v>
      </c>
      <c r="K22">
        <f>SUMIF($G:G,J22,$E:E)</f>
        <v>0</v>
      </c>
      <c r="L22">
        <f>K22/$K$2</f>
        <v>0</v>
      </c>
      <c r="M22">
        <f>K22/31</f>
        <v>0</v>
      </c>
    </row>
    <row r="23">
      <c r="B23">
        <v>46059</v>
      </c>
      <c r="C23">
        <f>210/2</f>
        <v>105</v>
      </c>
      <c r="D23">
        <v>2</v>
      </c>
      <c r="E23">
        <f>C23*D23</f>
        <v>210</v>
      </c>
      <c r="F23" t="str">
        <v>Joy Sari-Sari Store:Okra</v>
      </c>
      <c r="G23" t="str">
        <v>breakfast</v>
      </c>
      <c r="I23">
        <v>20</v>
      </c>
      <c r="J23" t="str">
        <v>miscellaneous</v>
      </c>
      <c r="K23">
        <f>SUMIF($G:G,J23,$E:E)</f>
        <v>0</v>
      </c>
      <c r="L23">
        <f>K23/$K$2</f>
        <v>0</v>
      </c>
      <c r="M23">
        <f>K23/31</f>
        <v>0</v>
      </c>
    </row>
    <row r="24">
      <c r="B24">
        <v>46059</v>
      </c>
      <c r="C24">
        <f>190/2</f>
        <v>95</v>
      </c>
      <c r="D24">
        <v>2</v>
      </c>
      <c r="E24">
        <f>C24*D24</f>
        <v>190</v>
      </c>
      <c r="F24" t="str">
        <v>Joy Sari-Sari Store:Talong</v>
      </c>
      <c r="G24" t="str">
        <v>breakfast</v>
      </c>
      <c r="I24">
        <v>21</v>
      </c>
      <c r="J24" t="str">
        <v>pool</v>
      </c>
      <c r="K24">
        <f>SUMIF($G:G,J24,$E:E)</f>
        <v>0</v>
      </c>
      <c r="L24">
        <f>K24/$K$2</f>
        <v>0</v>
      </c>
      <c r="M24">
        <f>K24/31</f>
        <v>0</v>
      </c>
    </row>
    <row r="25">
      <c r="B25">
        <v>46059</v>
      </c>
      <c r="C25">
        <v>50</v>
      </c>
      <c r="D25">
        <v>2</v>
      </c>
      <c r="E25">
        <f>C25*D25</f>
        <v>100</v>
      </c>
      <c r="F25" t="str">
        <v>Joy Sari-Sari Store:Kamatis</v>
      </c>
      <c r="G25" t="str">
        <v>breakfast</v>
      </c>
      <c r="I25">
        <v>22</v>
      </c>
      <c r="J25" t="str">
        <v>recreation</v>
      </c>
      <c r="K25">
        <f>SUMIF($G:G,J25,$E:E)</f>
        <v>0</v>
      </c>
      <c r="L25">
        <f>K25/$K$2</f>
        <v>0</v>
      </c>
      <c r="M25">
        <f>K25/31</f>
        <v>0</v>
      </c>
    </row>
    <row r="26">
      <c r="B26">
        <v>46060</v>
      </c>
      <c r="C26">
        <v>355</v>
      </c>
      <c r="D26">
        <v>1</v>
      </c>
      <c r="E26">
        <f>C26*D26</f>
        <v>355</v>
      </c>
      <c r="F26" t="str">
        <v>Joy Sari-Sari Store: Lakatan</v>
      </c>
      <c r="G26" t="str">
        <v>breakfast</v>
      </c>
      <c r="I26">
        <v>23</v>
      </c>
      <c r="J26" t="str">
        <v>repair</v>
      </c>
      <c r="K26">
        <f>SUMIF($G:G,J26,$E:E)</f>
        <v>2816</v>
      </c>
      <c r="L26">
        <f>K26/$K$2</f>
        <v>0.02146239877</v>
      </c>
      <c r="M26">
        <f>K26/31</f>
        <v>90.83870968</v>
      </c>
    </row>
    <row r="27">
      <c r="B27">
        <v>46060</v>
      </c>
      <c r="C27">
        <v>158.25</v>
      </c>
      <c r="D27">
        <v>1</v>
      </c>
      <c r="E27">
        <f>C27*D27</f>
        <v>158.25</v>
      </c>
      <c r="F27" t="str">
        <v>Metro Market: Green olive</v>
      </c>
      <c r="G27" t="str">
        <v>lunch/dinner</v>
      </c>
      <c r="I27">
        <v>24</v>
      </c>
      <c r="J27" t="str">
        <v>staff meals</v>
      </c>
      <c r="K27">
        <f>SUMIF($G:G,J27,$E:E)</f>
        <v>5478</v>
      </c>
      <c r="L27">
        <f>K27/$K$2</f>
        <v>0.04175107261</v>
      </c>
      <c r="M27">
        <f>K27/31</f>
        <v>176.7096774</v>
      </c>
    </row>
    <row r="28">
      <c r="B28">
        <v>46060</v>
      </c>
      <c r="C28">
        <v>99.25</v>
      </c>
      <c r="D28">
        <v>1</v>
      </c>
      <c r="E28">
        <f>C28*D28</f>
        <v>99.25</v>
      </c>
      <c r="F28" t="str">
        <v>Metro Market: Green olive stuffed</v>
      </c>
      <c r="G28" t="str">
        <v>lunch/dinner</v>
      </c>
      <c r="I28">
        <v>25</v>
      </c>
      <c r="J28" t="str">
        <v>store</v>
      </c>
      <c r="K28">
        <f>SUMIF($G:G,J28,$E:E)</f>
        <v>0</v>
      </c>
      <c r="L28">
        <f>K28/$K$2</f>
        <v>0</v>
      </c>
      <c r="M28">
        <f>K28/31</f>
        <v>0</v>
      </c>
    </row>
    <row r="29">
      <c r="B29">
        <v>46060</v>
      </c>
      <c r="C29">
        <v>65.45</v>
      </c>
      <c r="D29">
        <v>1</v>
      </c>
      <c r="E29">
        <f>C29*D29</f>
        <v>65.45</v>
      </c>
      <c r="F29" t="str">
        <v>Metro Market: Rosemary</v>
      </c>
      <c r="G29" t="str">
        <v>lunch/dinner</v>
      </c>
      <c r="I29">
        <v>26</v>
      </c>
      <c r="J29" t="str">
        <v>transpo</v>
      </c>
      <c r="K29">
        <f>SUMIF($G:G,J29,$E:E)</f>
        <v>0</v>
      </c>
      <c r="L29">
        <f>K29/$K$2</f>
        <v>0</v>
      </c>
      <c r="M29">
        <f>K29/31</f>
        <v>0</v>
      </c>
    </row>
    <row r="30">
      <c r="B30">
        <v>46060</v>
      </c>
      <c r="C30">
        <v>155.25</v>
      </c>
      <c r="D30">
        <v>2</v>
      </c>
      <c r="E30">
        <f>C30*D30</f>
        <v>310.5</v>
      </c>
      <c r="F30" t="str">
        <v>Metro Market: Cheese cheddar</v>
      </c>
      <c r="G30" t="str">
        <v>lunch/dinner</v>
      </c>
      <c r="I30">
        <v>27</v>
      </c>
      <c r="J30" t="str">
        <v>uniforms</v>
      </c>
      <c r="K30">
        <f>SUMIF($G:G,J30,$E:E)</f>
        <v>0</v>
      </c>
      <c r="L30">
        <f>K30/$K$2</f>
        <v>0</v>
      </c>
      <c r="M30">
        <f>K30/31</f>
        <v>0</v>
      </c>
    </row>
    <row r="31">
      <c r="B31">
        <v>46060</v>
      </c>
      <c r="C31">
        <v>179.5</v>
      </c>
      <c r="D31">
        <v>1</v>
      </c>
      <c r="E31">
        <f>C31*D31</f>
        <v>179.5</v>
      </c>
      <c r="F31" t="str">
        <v>Metro Market: Cheese Guoda</v>
      </c>
      <c r="G31" t="str">
        <v>lunch/dinner</v>
      </c>
      <c r="I31">
        <v>28</v>
      </c>
      <c r="J31" t="str">
        <v>water</v>
      </c>
      <c r="K31">
        <f>SUMIF($G:G,J31,$E:E)</f>
        <v>2250</v>
      </c>
      <c r="L31">
        <f>K31/$K$2</f>
        <v>0.01714857856</v>
      </c>
      <c r="M31">
        <f>K31/31</f>
        <v>72.58064516</v>
      </c>
    </row>
    <row r="32">
      <c r="B32">
        <v>46060</v>
      </c>
      <c r="C32">
        <v>589</v>
      </c>
      <c r="D32">
        <v>1</v>
      </c>
      <c r="E32">
        <f>C32*D32</f>
        <v>589</v>
      </c>
      <c r="F32" t="str">
        <v>Metro Market: Chobani Plain</v>
      </c>
      <c r="G32" t="str">
        <v>lunch/dinner</v>
      </c>
    </row>
    <row r="33">
      <c r="B33">
        <v>46060</v>
      </c>
      <c r="C33">
        <v>189</v>
      </c>
      <c r="D33">
        <v>2</v>
      </c>
      <c r="E33">
        <f>C33*D33</f>
        <v>378</v>
      </c>
      <c r="F33" t="str">
        <v>Metro Market: Chopping Board</v>
      </c>
      <c r="G33" t="str">
        <v>kitchen</v>
      </c>
    </row>
    <row r="34">
      <c r="B34">
        <v>46060</v>
      </c>
      <c r="C34">
        <v>149</v>
      </c>
      <c r="D34">
        <v>10</v>
      </c>
      <c r="E34">
        <f>C34*D34</f>
        <v>1490</v>
      </c>
      <c r="F34" t="str">
        <v>Metro Market:Luminare bowl</v>
      </c>
      <c r="G34" t="str">
        <v>kitchen</v>
      </c>
    </row>
    <row r="35">
      <c r="B35">
        <v>46060</v>
      </c>
      <c r="C35">
        <v>119</v>
      </c>
      <c r="D35">
        <v>6</v>
      </c>
      <c r="E35">
        <f>C35*D35</f>
        <v>714</v>
      </c>
      <c r="F35" t="str">
        <v>Metro Market:Luminare bowl</v>
      </c>
      <c r="G35" t="str">
        <v>kitchen</v>
      </c>
    </row>
    <row r="36">
      <c r="B36">
        <v>46060</v>
      </c>
      <c r="C36">
        <v>249</v>
      </c>
      <c r="D36">
        <v>2</v>
      </c>
      <c r="E36">
        <f>C36*D36</f>
        <v>498</v>
      </c>
      <c r="F36" t="str">
        <v>Metro Market:Chopping board</v>
      </c>
      <c r="G36" t="str">
        <v>kitchen</v>
      </c>
    </row>
    <row r="37">
      <c r="B37">
        <v>46060</v>
      </c>
      <c r="C37">
        <v>139.75</v>
      </c>
      <c r="D37">
        <v>3</v>
      </c>
      <c r="E37">
        <f>C37*D37</f>
        <v>419.25</v>
      </c>
      <c r="F37" t="str">
        <v>Metro Market: Teaspoon</v>
      </c>
      <c r="G37" t="str">
        <v>kitchen</v>
      </c>
    </row>
    <row r="38">
      <c r="B38">
        <v>46060</v>
      </c>
      <c r="C38">
        <v>129</v>
      </c>
      <c r="D38">
        <v>6</v>
      </c>
      <c r="E38">
        <f>C38*D38</f>
        <v>774</v>
      </c>
      <c r="F38" t="str">
        <v>Metro Market:Steak Knife</v>
      </c>
      <c r="G38" t="str">
        <v>kitchen</v>
      </c>
    </row>
    <row r="39">
      <c r="B39">
        <v>46060</v>
      </c>
      <c r="C39">
        <v>64</v>
      </c>
      <c r="D39">
        <v>6</v>
      </c>
      <c r="E39">
        <f>C39*D39</f>
        <v>384</v>
      </c>
      <c r="F39" t="str">
        <v>Metro Market:Butter Knife</v>
      </c>
      <c r="G39" t="str">
        <v>kitchen</v>
      </c>
      <c r="H39" t="str">
        <v xml:space="preserve"> </v>
      </c>
    </row>
    <row r="40">
      <c r="B40">
        <v>46060</v>
      </c>
      <c r="C40">
        <v>529.75</v>
      </c>
      <c r="D40">
        <v>2</v>
      </c>
      <c r="E40">
        <f>C40*D40</f>
        <v>1059.5</v>
      </c>
      <c r="F40" t="str">
        <v>Metro Market:Home Gallery</v>
      </c>
      <c r="G40" t="str">
        <v>kitchen</v>
      </c>
      <c r="L40" t="str">
        <v xml:space="preserve"> </v>
      </c>
    </row>
    <row r="41">
      <c r="B41">
        <v>46061</v>
      </c>
      <c r="C41">
        <v>109</v>
      </c>
      <c r="D41">
        <v>2</v>
      </c>
      <c r="E41">
        <f>C41*D41</f>
        <v>218</v>
      </c>
      <c r="F41" t="str">
        <v>ShopWise: Bourbon</v>
      </c>
      <c r="G41" t="str">
        <v>lunch/dinner</v>
      </c>
    </row>
    <row r="42">
      <c r="B42">
        <v>46061</v>
      </c>
      <c r="C42">
        <v>359</v>
      </c>
      <c r="D42">
        <v>1</v>
      </c>
      <c r="E42">
        <f>C42*D42</f>
        <v>359</v>
      </c>
      <c r="F42" t="str">
        <v>ShopWise: Daily fix</v>
      </c>
      <c r="G42" t="str">
        <v>lunch/dinner</v>
      </c>
    </row>
    <row r="43">
      <c r="B43">
        <v>46061</v>
      </c>
      <c r="C43">
        <v>197</v>
      </c>
      <c r="D43">
        <v>1</v>
      </c>
      <c r="E43">
        <f>C43*D43</f>
        <v>197</v>
      </c>
      <c r="F43" t="str">
        <v>ShopWise:Mushroom</v>
      </c>
      <c r="G43" t="str">
        <v>lunch/dinner</v>
      </c>
    </row>
    <row r="44">
      <c r="B44">
        <v>46061</v>
      </c>
      <c r="C44">
        <v>197</v>
      </c>
      <c r="D44">
        <v>1</v>
      </c>
      <c r="E44">
        <f>C44*D44</f>
        <v>197</v>
      </c>
      <c r="F44" t="str">
        <v>ShopWise:Mushroom</v>
      </c>
      <c r="G44" t="str">
        <v>lunch/dinner</v>
      </c>
    </row>
    <row r="45">
      <c r="B45">
        <v>46061</v>
      </c>
      <c r="C45">
        <v>185</v>
      </c>
      <c r="D45">
        <v>3</v>
      </c>
      <c r="E45">
        <f>C45*D45</f>
        <v>555</v>
      </c>
      <c r="F45" t="str">
        <v>ShopWise:Lotus Caramelised</v>
      </c>
      <c r="G45" t="str">
        <v>lunch/dinner</v>
      </c>
    </row>
    <row r="46">
      <c r="B46">
        <v>46061</v>
      </c>
      <c r="C46">
        <v>269</v>
      </c>
      <c r="D46">
        <v>1</v>
      </c>
      <c r="E46">
        <f>C46*D46</f>
        <v>269</v>
      </c>
      <c r="F46" t="str">
        <v>ShopWise:Meadows Earlgrey</v>
      </c>
      <c r="G46" t="str">
        <v>lunch/dinner</v>
      </c>
    </row>
    <row r="47">
      <c r="B47">
        <v>46061</v>
      </c>
      <c r="C47">
        <v>429</v>
      </c>
      <c r="D47">
        <v>4</v>
      </c>
      <c r="E47">
        <f>C47*D47</f>
        <v>1716</v>
      </c>
      <c r="F47" t="str">
        <v>ShopWise:Red peak cabernet</v>
      </c>
      <c r="G47" t="str">
        <v>lunch/dinner</v>
      </c>
    </row>
    <row r="48">
      <c r="B48">
        <v>46061</v>
      </c>
      <c r="C48">
        <v>429</v>
      </c>
      <c r="D48">
        <v>2</v>
      </c>
      <c r="E48">
        <f>C48*D48</f>
        <v>858</v>
      </c>
      <c r="F48" t="str">
        <v>ShopWise:Red peak cabernet</v>
      </c>
      <c r="G48" t="str">
        <v>lunch/dinner</v>
      </c>
    </row>
    <row r="49">
      <c r="B49">
        <v>46061</v>
      </c>
      <c r="C49">
        <v>390</v>
      </c>
      <c r="D49">
        <v>1</v>
      </c>
      <c r="E49">
        <f>C49*D49</f>
        <v>390</v>
      </c>
      <c r="F49" t="str">
        <v>ShopWise:Readyme kombucha</v>
      </c>
      <c r="G49" t="str">
        <v>lunch/dinner</v>
      </c>
    </row>
    <row r="50">
      <c r="B50">
        <v>46061</v>
      </c>
      <c r="C50">
        <v>50</v>
      </c>
      <c r="D50">
        <v>2</v>
      </c>
      <c r="E50">
        <f>C50*D50</f>
        <v>100</v>
      </c>
      <c r="F50" t="str">
        <v>Joy Sari-Sari Store: Kamatis</v>
      </c>
      <c r="G50" t="str">
        <v>breakfast</v>
      </c>
    </row>
    <row r="51">
      <c r="B51">
        <v>46061</v>
      </c>
      <c r="C51">
        <f>180/2</f>
        <v>90</v>
      </c>
      <c r="D51">
        <v>2</v>
      </c>
      <c r="E51">
        <f>C51*D51</f>
        <v>180</v>
      </c>
      <c r="F51" t="str">
        <v>Joy Sari-Sari Store: Okra</v>
      </c>
      <c r="G51" t="str">
        <v>breakfast</v>
      </c>
    </row>
    <row r="52">
      <c r="B52">
        <v>46061</v>
      </c>
      <c r="C52">
        <f>180/2</f>
        <v>90</v>
      </c>
      <c r="D52">
        <v>2</v>
      </c>
      <c r="E52">
        <f>C52*D52</f>
        <v>180</v>
      </c>
      <c r="F52" t="str">
        <v>Joy Sari-Sari Store: Pakwan</v>
      </c>
      <c r="G52" t="str">
        <v>breakfast</v>
      </c>
    </row>
    <row r="53">
      <c r="B53">
        <v>46061</v>
      </c>
      <c r="C53">
        <v>60</v>
      </c>
      <c r="D53">
        <v>1</v>
      </c>
      <c r="E53">
        <f>C53*D53</f>
        <v>60</v>
      </c>
      <c r="F53" t="str">
        <v>Joy Sari-Sari Store: Leaks</v>
      </c>
      <c r="G53" t="str">
        <v>breakfast</v>
      </c>
    </row>
    <row r="54">
      <c r="B54">
        <v>46064</v>
      </c>
      <c r="C54">
        <f>650/2</f>
        <v>325</v>
      </c>
      <c r="D54">
        <v>2</v>
      </c>
      <c r="E54">
        <f>C54*D54</f>
        <v>650</v>
      </c>
      <c r="F54" t="str">
        <v>Joy Sari-Sari Store:Chicken</v>
      </c>
      <c r="G54" t="str">
        <v>staff meals</v>
      </c>
    </row>
    <row r="55">
      <c r="B55">
        <v>46066</v>
      </c>
      <c r="C55">
        <f>715/2</f>
        <v>357.5</v>
      </c>
      <c r="D55">
        <v>2</v>
      </c>
      <c r="E55">
        <f>C55*D55</f>
        <v>715</v>
      </c>
      <c r="F55" t="str">
        <v>Joy Sari-Sari Store:Chicken</v>
      </c>
      <c r="G55" t="str">
        <v>staff meals</v>
      </c>
    </row>
    <row r="56">
      <c r="B56">
        <v>46067</v>
      </c>
      <c r="C56">
        <v>45</v>
      </c>
      <c r="D56">
        <v>2</v>
      </c>
      <c r="E56">
        <f>C56*D56</f>
        <v>90</v>
      </c>
      <c r="F56" t="str">
        <v>Joy Sari-Sari Store:Apple</v>
      </c>
      <c r="G56" t="str">
        <v>breakfast</v>
      </c>
    </row>
    <row r="57">
      <c r="B57">
        <v>46068</v>
      </c>
      <c r="C57">
        <v>350</v>
      </c>
      <c r="D57">
        <v>1</v>
      </c>
      <c r="E57">
        <f>C57*D57</f>
        <v>350</v>
      </c>
      <c r="F57" t="str">
        <v>Joy Sari-Sari Store:Lakatan</v>
      </c>
      <c r="G57" t="str">
        <v>breakfast</v>
      </c>
    </row>
    <row r="58">
      <c r="B58">
        <v>46068</v>
      </c>
      <c r="C58">
        <v>95</v>
      </c>
      <c r="D58">
        <v>1</v>
      </c>
      <c r="E58">
        <f>C58*D58</f>
        <v>95</v>
      </c>
      <c r="F58" t="str">
        <v>Joy Sari-Sari Store:Kamatis</v>
      </c>
      <c r="G58" t="str">
        <v>breakfast</v>
      </c>
    </row>
    <row r="59">
      <c r="B59">
        <v>46068</v>
      </c>
      <c r="C59">
        <f>550/3</f>
        <v>183.3333333</v>
      </c>
      <c r="D59">
        <v>3</v>
      </c>
      <c r="E59">
        <f>C59*D59</f>
        <v>550</v>
      </c>
      <c r="F59" t="str">
        <v>Joy Sari-Sari Store: Bangus</v>
      </c>
      <c r="G59" t="str">
        <v>staff meals</v>
      </c>
    </row>
    <row r="60">
      <c r="B60">
        <v>46068</v>
      </c>
      <c r="C60">
        <v>120</v>
      </c>
      <c r="D60">
        <v>1</v>
      </c>
      <c r="E60">
        <f>C60*D60</f>
        <v>120</v>
      </c>
      <c r="F60" t="str">
        <v>Joy Sari-Sari Store:Pangatin</v>
      </c>
      <c r="G60" t="str">
        <v>staff meals</v>
      </c>
    </row>
    <row r="61">
      <c r="B61">
        <v>46068</v>
      </c>
      <c r="C61">
        <v>35</v>
      </c>
      <c r="D61">
        <v>1</v>
      </c>
      <c r="E61">
        <f>C61*D61</f>
        <v>35</v>
      </c>
      <c r="F61" t="str">
        <v>Joy Sari-Sari Store:Mongo</v>
      </c>
      <c r="G61" t="str">
        <v>staff meals</v>
      </c>
    </row>
    <row r="62">
      <c r="B62">
        <v>46068</v>
      </c>
      <c r="C62">
        <v>120</v>
      </c>
      <c r="D62">
        <v>1</v>
      </c>
      <c r="E62">
        <f>C62*D62</f>
        <v>120</v>
      </c>
      <c r="F62" t="str">
        <v>Joy Sari-Sari Store:Pangatin</v>
      </c>
      <c r="G62" t="str">
        <v>staff meals</v>
      </c>
    </row>
    <row r="63">
      <c r="B63">
        <v>46068</v>
      </c>
      <c r="C63">
        <v>15</v>
      </c>
      <c r="D63">
        <v>2</v>
      </c>
      <c r="E63">
        <f>C63*D63</f>
        <v>30</v>
      </c>
      <c r="F63" t="str">
        <v>Joy Sari-Sari Store:Mongo</v>
      </c>
      <c r="G63" t="str">
        <v>staff meals</v>
      </c>
    </row>
    <row r="64">
      <c r="B64">
        <v>46068</v>
      </c>
      <c r="C64">
        <v>210</v>
      </c>
      <c r="D64">
        <v>1</v>
      </c>
      <c r="E64">
        <f>C64*D64</f>
        <v>210</v>
      </c>
      <c r="F64" t="str">
        <v>Joy Sari-Sari Store:Pork</v>
      </c>
      <c r="G64" t="str">
        <v>staff meals</v>
      </c>
    </row>
    <row r="65">
      <c r="B65">
        <v>46068</v>
      </c>
      <c r="C65">
        <f>105/3</f>
        <v>35</v>
      </c>
      <c r="D65">
        <v>3</v>
      </c>
      <c r="E65">
        <f>C65*D65</f>
        <v>105</v>
      </c>
      <c r="F65" t="str">
        <v>Joy Sari-Sari Store:C-Baboy</v>
      </c>
      <c r="G65" t="str">
        <v>staff meals</v>
      </c>
      <c r="H65" t="str">
        <v xml:space="preserve">     </v>
      </c>
    </row>
    <row r="66">
      <c r="B66">
        <v>46068</v>
      </c>
      <c r="C66">
        <v>150</v>
      </c>
      <c r="D66">
        <v>1</v>
      </c>
      <c r="E66">
        <f>C66*D66</f>
        <v>150</v>
      </c>
      <c r="F66" t="str">
        <v>Joy Sari-Sari Store:Tilapia</v>
      </c>
      <c r="G66" t="str">
        <v>staff meals</v>
      </c>
    </row>
    <row r="67">
      <c r="B67">
        <v>46068</v>
      </c>
      <c r="C67">
        <v>35</v>
      </c>
      <c r="D67">
        <v>1</v>
      </c>
      <c r="E67">
        <f>C67*D67</f>
        <v>35</v>
      </c>
      <c r="F67" t="str">
        <v>Joy Sari-Sari Store:Magic Sarap</v>
      </c>
      <c r="G67" t="str">
        <v>staff meals</v>
      </c>
    </row>
    <row r="68">
      <c r="B68">
        <v>46068</v>
      </c>
      <c r="C68">
        <v>20</v>
      </c>
      <c r="D68">
        <v>1</v>
      </c>
      <c r="E68">
        <f>C68*D68</f>
        <v>20</v>
      </c>
      <c r="F68" t="str">
        <v>Joy Sari-Sari Store:Puto</v>
      </c>
      <c r="G68" t="str">
        <v>staff meals</v>
      </c>
    </row>
    <row r="69">
      <c r="B69">
        <v>46068</v>
      </c>
      <c r="C69">
        <v>10</v>
      </c>
      <c r="D69">
        <v>3</v>
      </c>
      <c r="E69">
        <f>C69*D69</f>
        <v>30</v>
      </c>
      <c r="F69" t="str">
        <v>Joy Sari-Sari Store:Sotanghon</v>
      </c>
      <c r="G69" t="str">
        <v>staff meals</v>
      </c>
    </row>
    <row r="70">
      <c r="B70">
        <v>46068</v>
      </c>
      <c r="C70">
        <v>45</v>
      </c>
      <c r="D70">
        <v>24</v>
      </c>
      <c r="E70">
        <f>C70*D70</f>
        <v>1080</v>
      </c>
      <c r="F70" t="str">
        <v>Beeperas: Water</v>
      </c>
      <c r="G70" t="str">
        <v>water</v>
      </c>
    </row>
    <row r="71">
      <c r="B71">
        <v>46069</v>
      </c>
      <c r="C71">
        <v>102</v>
      </c>
      <c r="D71">
        <v>8</v>
      </c>
      <c r="E71">
        <f>C71*D71</f>
        <v>816</v>
      </c>
      <c r="F71" t="str">
        <v>Shopee: Wall paper</v>
      </c>
      <c r="G71" t="str">
        <v>repair</v>
      </c>
    </row>
    <row r="72">
      <c r="B72">
        <v>46072</v>
      </c>
      <c r="C72">
        <v>165</v>
      </c>
      <c r="D72">
        <v>1</v>
      </c>
      <c r="E72">
        <f>C72*D72</f>
        <v>165</v>
      </c>
      <c r="F72" t="str">
        <v>Joy Sari-Sari Store:Lakatan</v>
      </c>
      <c r="G72" t="str">
        <v>breakfast</v>
      </c>
    </row>
    <row r="73">
      <c r="B73">
        <v>46072</v>
      </c>
      <c r="C73">
        <v>250</v>
      </c>
      <c r="D73">
        <v>1</v>
      </c>
      <c r="E73">
        <f>C73*D73</f>
        <v>250</v>
      </c>
      <c r="F73" t="str">
        <v>Shopee: Net</v>
      </c>
      <c r="G73" t="str">
        <v>repair</v>
      </c>
    </row>
    <row r="74">
      <c r="B74">
        <v>46074</v>
      </c>
      <c r="C74">
        <v>260</v>
      </c>
      <c r="D74">
        <v>1</v>
      </c>
      <c r="E74">
        <f>C74*D74</f>
        <v>260</v>
      </c>
      <c r="F74" t="str">
        <v>Joy Sari-Sari Store:Gigi</v>
      </c>
      <c r="G74" t="str">
        <v>staff meals</v>
      </c>
    </row>
    <row r="75">
      <c r="B75">
        <v>46074</v>
      </c>
      <c r="C75">
        <v>150</v>
      </c>
      <c r="D75">
        <v>1</v>
      </c>
      <c r="E75">
        <f>C75*D75</f>
        <v>150</v>
      </c>
      <c r="F75" t="str">
        <v>Joy Sari-Sari Store:Tilapia</v>
      </c>
      <c r="G75" t="str">
        <v>staff meals</v>
      </c>
    </row>
    <row r="76">
      <c r="B76">
        <v>46074</v>
      </c>
      <c r="C76">
        <v>25</v>
      </c>
      <c r="D76">
        <v>4</v>
      </c>
      <c r="E76">
        <f>C76*D76</f>
        <v>100</v>
      </c>
      <c r="F76" t="str">
        <v>Joy Sari-Sari Store:Pakbet</v>
      </c>
      <c r="G76" t="str">
        <v>staff meals</v>
      </c>
    </row>
    <row r="77">
      <c r="B77">
        <v>46074</v>
      </c>
      <c r="C77">
        <v>40</v>
      </c>
      <c r="D77">
        <v>1</v>
      </c>
      <c r="E77">
        <f>C77*D77</f>
        <v>40</v>
      </c>
      <c r="F77" t="str">
        <v>Joy Sari-Sari Store:Sibuyas</v>
      </c>
      <c r="G77" t="str">
        <v>staff meals</v>
      </c>
    </row>
    <row r="78">
      <c r="B78">
        <v>46074</v>
      </c>
      <c r="C78">
        <v>42</v>
      </c>
      <c r="D78">
        <v>1</v>
      </c>
      <c r="E78">
        <f>C78*D78</f>
        <v>42</v>
      </c>
      <c r="F78" t="str">
        <v>Joy Sari-Sari Store:Magic Sarap</v>
      </c>
      <c r="G78" t="str">
        <v>staff meals</v>
      </c>
    </row>
    <row r="79">
      <c r="B79">
        <v>46074</v>
      </c>
      <c r="C79">
        <v>10</v>
      </c>
      <c r="D79">
        <v>1</v>
      </c>
      <c r="E79">
        <f>C79*D79</f>
        <v>10</v>
      </c>
      <c r="F79" t="str">
        <v>Joy Sari-Sari Store:Sili green</v>
      </c>
      <c r="G79" t="str">
        <v>staff meals</v>
      </c>
    </row>
    <row r="80">
      <c r="B80">
        <v>46075</v>
      </c>
      <c r="C80">
        <f>140/2</f>
        <v>70</v>
      </c>
      <c r="D80">
        <v>2</v>
      </c>
      <c r="E80">
        <f>C80*D80</f>
        <v>140</v>
      </c>
      <c r="F80" t="str">
        <v>Joy Sari-Sari Store:Talong</v>
      </c>
      <c r="G80" t="str">
        <v>breakfast</v>
      </c>
    </row>
    <row r="81">
      <c r="B81">
        <v>46075</v>
      </c>
      <c r="C81">
        <v>90</v>
      </c>
      <c r="D81">
        <v>1</v>
      </c>
      <c r="E81">
        <f>C81*D81</f>
        <v>90</v>
      </c>
      <c r="F81" t="str">
        <v>Joy Sari-Sari Store:Okra</v>
      </c>
      <c r="G81" t="str">
        <v>breakfast</v>
      </c>
    </row>
    <row r="82">
      <c r="B82">
        <v>46075</v>
      </c>
      <c r="C82">
        <v>280</v>
      </c>
      <c r="D82">
        <v>1</v>
      </c>
      <c r="E82">
        <f>C82*D82</f>
        <v>280</v>
      </c>
      <c r="F82" t="str">
        <v>Joy Sari-Sari Store:Lakatan</v>
      </c>
      <c r="G82" t="str">
        <v>breakfast</v>
      </c>
    </row>
    <row r="83">
      <c r="B83">
        <v>46075</v>
      </c>
      <c r="C83">
        <f>715/2</f>
        <v>357.5</v>
      </c>
      <c r="D83">
        <v>2</v>
      </c>
      <c r="E83">
        <f>C83*D83</f>
        <v>715</v>
      </c>
      <c r="F83" t="str">
        <v>Joy Sari-Sari Store:Chicken</v>
      </c>
      <c r="G83" t="str">
        <v>staff meals</v>
      </c>
    </row>
    <row r="84">
      <c r="B84">
        <v>46078</v>
      </c>
      <c r="C84">
        <v>1750</v>
      </c>
      <c r="D84">
        <v>1</v>
      </c>
      <c r="E84">
        <f>C84*D84</f>
        <v>1750</v>
      </c>
      <c r="F84" t="str">
        <v>CCTV MATERIALS</v>
      </c>
      <c r="G84" t="str">
        <v>repair</v>
      </c>
    </row>
    <row r="85">
      <c r="B85">
        <v>46079</v>
      </c>
      <c r="C85">
        <v>55423.62</v>
      </c>
      <c r="D85">
        <v>1</v>
      </c>
      <c r="E85">
        <f>C85*D85</f>
        <v>55423.62</v>
      </c>
      <c r="F85" t="str">
        <v>Sanitary Care Products</v>
      </c>
      <c r="G85" t="str">
        <v>cleaning</v>
      </c>
    </row>
    <row r="86">
      <c r="B86">
        <v>46081</v>
      </c>
      <c r="C86">
        <v>45</v>
      </c>
      <c r="D86">
        <v>26</v>
      </c>
      <c r="E86">
        <f>C86*D86</f>
        <v>1170</v>
      </c>
      <c r="F86" t="str">
        <v>Beeperas: Water</v>
      </c>
      <c r="G86" t="str">
        <v>water</v>
      </c>
    </row>
    <row r="87">
      <c r="B87">
        <v>46081</v>
      </c>
      <c r="C87">
        <v>3800</v>
      </c>
      <c r="D87">
        <v>1</v>
      </c>
      <c r="E87">
        <f>C87*D87</f>
        <v>3800</v>
      </c>
      <c r="F87" t="str">
        <v>Starlink</v>
      </c>
      <c r="G87" t="str">
        <v>internet</v>
      </c>
    </row>
    <row r="88">
      <c r="B88">
        <v>46081</v>
      </c>
      <c r="C88">
        <v>42819.9</v>
      </c>
      <c r="D88">
        <v>1</v>
      </c>
      <c r="E88">
        <v>42819.89</v>
      </c>
      <c r="F88" t="str">
        <v>PENELCO</v>
      </c>
      <c r="G88" t="str">
        <v>electricity</v>
      </c>
    </row>
    <row r="89">
      <c r="B89">
        <v>46081</v>
      </c>
      <c r="C89">
        <v>20</v>
      </c>
      <c r="D89">
        <v>156</v>
      </c>
      <c r="E89">
        <f>C89*D89</f>
        <v>3120</v>
      </c>
      <c r="F89" t="str">
        <v>Environmental Fee</v>
      </c>
      <c r="G89" t="str">
        <v>Compliance</v>
      </c>
    </row>
    <row r="90">
      <c r="E90">
        <f>C90*D90</f>
        <v>0</v>
      </c>
    </row>
    <row r="91">
      <c r="E91">
        <f>C91*D91</f>
        <v>0</v>
      </c>
    </row>
    <row r="92">
      <c r="E92">
        <f>C92*D92</f>
        <v>0</v>
      </c>
    </row>
    <row r="93">
      <c r="E93">
        <f>C93*D93</f>
        <v>0</v>
      </c>
    </row>
    <row r="94">
      <c r="E94">
        <f>C94*D94</f>
        <v>0</v>
      </c>
    </row>
    <row r="95">
      <c r="E95">
        <f>C95*D95</f>
        <v>0</v>
      </c>
    </row>
    <row r="96">
      <c r="E96">
        <f>C96*D96</f>
        <v>0</v>
      </c>
      <c r="Z96" t="str">
        <v xml:space="preserve">     </v>
      </c>
    </row>
    <row r="97">
      <c r="E97">
        <f>C97*D97</f>
        <v>0</v>
      </c>
    </row>
    <row r="98">
      <c r="E98">
        <f>C98*D98</f>
        <v>0</v>
      </c>
    </row>
    <row r="99">
      <c r="E99">
        <f>C99*D99</f>
        <v>0</v>
      </c>
    </row>
    <row r="100">
      <c r="E100">
        <f>C100*D100</f>
        <v>0</v>
      </c>
    </row>
    <row r="101">
      <c r="E101">
        <f>C101*D101</f>
        <v>0</v>
      </c>
      <c r="H101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">
      <c r="E102">
        <f>C102*D102</f>
        <v>0</v>
      </c>
    </row>
    <row r="103">
      <c r="E103">
        <f>C103*D103</f>
        <v>0</v>
      </c>
    </row>
    <row r="104">
      <c r="E104">
        <f>C104*D104</f>
        <v>0</v>
      </c>
    </row>
    <row r="105">
      <c r="E105">
        <f>C105*D105</f>
        <v>0</v>
      </c>
    </row>
    <row r="106">
      <c r="E106">
        <f>C106*D106</f>
        <v>0</v>
      </c>
    </row>
    <row r="107">
      <c r="E107">
        <f>C107*D107</f>
        <v>0</v>
      </c>
    </row>
    <row r="108">
      <c r="E108">
        <f>C108*D108</f>
        <v>0</v>
      </c>
    </row>
    <row r="109">
      <c r="E109">
        <f>C109*D109</f>
        <v>0</v>
      </c>
    </row>
    <row r="110">
      <c r="E110">
        <f>C110*D110</f>
        <v>0</v>
      </c>
    </row>
    <row r="111">
      <c r="E111">
        <f>C111*D111</f>
        <v>0</v>
      </c>
    </row>
    <row r="112">
      <c r="E112">
        <f>C112*D112</f>
        <v>0</v>
      </c>
    </row>
    <row r="113">
      <c r="E113">
        <f>C113*D113</f>
        <v>0</v>
      </c>
    </row>
    <row r="114">
      <c r="E114">
        <f>C114*D114</f>
        <v>0</v>
      </c>
    </row>
    <row r="115">
      <c r="E115">
        <f>C115*D115</f>
        <v>0</v>
      </c>
    </row>
    <row r="116">
      <c r="E116">
        <f>C116*D116</f>
        <v>0</v>
      </c>
    </row>
    <row r="117">
      <c r="E117">
        <f>C117*D117</f>
        <v>0</v>
      </c>
    </row>
    <row r="118">
      <c r="E118">
        <f>C118*D118</f>
        <v>0</v>
      </c>
    </row>
    <row r="119">
      <c r="E119">
        <f>C119*D119</f>
        <v>0</v>
      </c>
    </row>
    <row r="120">
      <c r="E120">
        <f>C120*D120</f>
        <v>0</v>
      </c>
    </row>
    <row r="121">
      <c r="E121">
        <f>C121*D121</f>
        <v>0</v>
      </c>
    </row>
    <row r="122">
      <c r="E122">
        <f>C122*D122</f>
        <v>0</v>
      </c>
    </row>
    <row r="123">
      <c r="E123">
        <f>C123*D123</f>
        <v>0</v>
      </c>
    </row>
    <row r="124">
      <c r="E124">
        <f>C124*D124</f>
        <v>0</v>
      </c>
    </row>
    <row r="125">
      <c r="E125">
        <f>C125*D125</f>
        <v>0</v>
      </c>
    </row>
    <row r="126">
      <c r="E126">
        <f>C126*D126</f>
        <v>0</v>
      </c>
    </row>
    <row r="127">
      <c r="E127">
        <f>C127*D127</f>
        <v>0</v>
      </c>
    </row>
    <row r="128">
      <c r="E128">
        <f>C128*D128</f>
        <v>0</v>
      </c>
    </row>
    <row r="129">
      <c r="E129">
        <f>C129*D129</f>
        <v>0</v>
      </c>
    </row>
    <row r="130">
      <c r="E130">
        <f>C130*D130</f>
        <v>0</v>
      </c>
    </row>
    <row r="131">
      <c r="E131">
        <f>C131*D131</f>
        <v>0</v>
      </c>
    </row>
    <row r="132">
      <c r="E132">
        <f>C132*D132</f>
        <v>0</v>
      </c>
    </row>
    <row r="133">
      <c r="E133">
        <f>C133*D133</f>
        <v>0</v>
      </c>
    </row>
    <row r="134">
      <c r="E134">
        <f>C134*D134</f>
        <v>0</v>
      </c>
    </row>
    <row r="135">
      <c r="E135">
        <f>C135*D135</f>
        <v>0</v>
      </c>
    </row>
    <row r="136">
      <c r="E136">
        <f>C136*D136</f>
        <v>0</v>
      </c>
    </row>
    <row r="137">
      <c r="E137">
        <f>C137*D137</f>
        <v>0</v>
      </c>
    </row>
    <row r="138">
      <c r="E138">
        <f>C138*D138</f>
        <v>0</v>
      </c>
    </row>
    <row r="139">
      <c r="E139">
        <f>C139*D139</f>
        <v>0</v>
      </c>
    </row>
    <row r="140">
      <c r="E140">
        <f>C140*D140</f>
        <v>0</v>
      </c>
    </row>
    <row r="141">
      <c r="E141">
        <f>C141*D141</f>
        <v>0</v>
      </c>
    </row>
    <row r="142">
      <c r="E142">
        <f>C142*D142</f>
        <v>0</v>
      </c>
    </row>
    <row r="143">
      <c r="E143">
        <f>C143*D143</f>
        <v>0</v>
      </c>
    </row>
    <row r="144">
      <c r="E144">
        <f>C144*D144</f>
        <v>0</v>
      </c>
    </row>
    <row r="145">
      <c r="E145">
        <f>C145*D145</f>
        <v>0</v>
      </c>
    </row>
    <row r="146">
      <c r="E146">
        <f>C146*D146</f>
        <v>0</v>
      </c>
    </row>
    <row r="147">
      <c r="E147">
        <f>C147*D147</f>
        <v>0</v>
      </c>
    </row>
    <row r="148">
      <c r="E148">
        <f>C148*D148</f>
        <v>0</v>
      </c>
    </row>
    <row r="149">
      <c r="E149">
        <f>C149*D149</f>
        <v>0</v>
      </c>
    </row>
    <row r="150">
      <c r="E150">
        <f>C150*D150</f>
        <v>0</v>
      </c>
    </row>
    <row r="151">
      <c r="E151">
        <f>C151*D151</f>
        <v>0</v>
      </c>
    </row>
    <row r="152">
      <c r="E152">
        <f>C152*D152</f>
        <v>0</v>
      </c>
    </row>
    <row r="153">
      <c r="E153">
        <f>C153*D153</f>
        <v>0</v>
      </c>
    </row>
    <row r="154">
      <c r="E154">
        <f>C154*D154</f>
        <v>0</v>
      </c>
    </row>
    <row r="156">
      <c r="E156">
        <f>C156*D156</f>
        <v>0</v>
      </c>
    </row>
    <row r="157">
      <c r="E157">
        <f>C157*D157</f>
        <v>0</v>
      </c>
    </row>
    <row r="158">
      <c r="E158">
        <f>C158*D158</f>
        <v>0</v>
      </c>
    </row>
    <row r="159">
      <c r="E159">
        <f>C159*D159</f>
        <v>0</v>
      </c>
    </row>
    <row r="160">
      <c r="E160">
        <f>C160*D160</f>
        <v>0</v>
      </c>
    </row>
    <row r="161">
      <c r="E161">
        <f>C161*D161</f>
        <v>0</v>
      </c>
    </row>
    <row r="162">
      <c r="E162">
        <f>C162*D162</f>
        <v>0</v>
      </c>
    </row>
    <row r="163">
      <c r="E163">
        <f>C163*D163</f>
        <v>0</v>
      </c>
    </row>
    <row r="164">
      <c r="E164">
        <f>C164*D164</f>
        <v>0</v>
      </c>
    </row>
    <row r="165">
      <c r="E165">
        <f>C165*D165</f>
        <v>0</v>
      </c>
    </row>
    <row r="166">
      <c r="E166">
        <f>C166*D166</f>
        <v>0</v>
      </c>
    </row>
    <row r="167">
      <c r="E167">
        <f>C167*D167</f>
        <v>0</v>
      </c>
    </row>
    <row r="168">
      <c r="E168">
        <f>C168*D168</f>
        <v>0</v>
      </c>
    </row>
    <row r="169">
      <c r="E169">
        <f>C169*D169</f>
        <v>0</v>
      </c>
    </row>
    <row r="170">
      <c r="E170">
        <f>C170*D170</f>
        <v>0</v>
      </c>
    </row>
    <row r="171">
      <c r="E171">
        <f>C171*D171</f>
        <v>0</v>
      </c>
    </row>
    <row r="172">
      <c r="E172">
        <f>C172*D172</f>
        <v>0</v>
      </c>
    </row>
    <row r="173">
      <c r="E173">
        <f>C173*D173</f>
        <v>0</v>
      </c>
    </row>
    <row r="174">
      <c r="E174">
        <f>C174*D174</f>
        <v>0</v>
      </c>
    </row>
    <row r="175">
      <c r="E175">
        <f>C175*D175</f>
        <v>0</v>
      </c>
    </row>
    <row r="176">
      <c r="E176">
        <f>C176*D176</f>
        <v>0</v>
      </c>
    </row>
    <row r="177">
      <c r="E177">
        <f>C177*D177</f>
        <v>0</v>
      </c>
    </row>
    <row r="178">
      <c r="E178">
        <f>C178*D178</f>
        <v>0</v>
      </c>
    </row>
    <row r="179">
      <c r="E179">
        <f>C179*D179</f>
        <v>0</v>
      </c>
    </row>
    <row r="180">
      <c r="E180">
        <f>C180*D180</f>
        <v>0</v>
      </c>
    </row>
    <row r="181">
      <c r="E181">
        <f>C181*D181</f>
        <v>0</v>
      </c>
    </row>
    <row r="182">
      <c r="E182">
        <f>C182*D182</f>
        <v>0</v>
      </c>
    </row>
    <row r="183">
      <c r="E183">
        <f>C183*D183</f>
        <v>0</v>
      </c>
    </row>
    <row r="184">
      <c r="E184">
        <f>C184*D184</f>
        <v>0</v>
      </c>
    </row>
    <row r="185">
      <c r="E185">
        <f>C185*D185</f>
        <v>0</v>
      </c>
    </row>
    <row r="186">
      <c r="E186">
        <f>C186*D186</f>
        <v>0</v>
      </c>
    </row>
    <row r="187">
      <c r="E187">
        <f>C187*D187</f>
        <v>0</v>
      </c>
    </row>
    <row r="188">
      <c r="E188">
        <f>C188*D188</f>
        <v>0</v>
      </c>
    </row>
    <row r="189">
      <c r="E189">
        <f>C189*D189</f>
        <v>0</v>
      </c>
    </row>
    <row r="190">
      <c r="E190">
        <f>C190*D190</f>
        <v>0</v>
      </c>
    </row>
    <row r="191">
      <c r="E191">
        <f>C191*D191</f>
        <v>0</v>
      </c>
    </row>
    <row r="192">
      <c r="E192">
        <f>C192*D192</f>
        <v>0</v>
      </c>
    </row>
    <row r="193">
      <c r="E193">
        <f>C193*D193</f>
        <v>0</v>
      </c>
    </row>
    <row r="194">
      <c r="E194">
        <f>C194*D194</f>
        <v>0</v>
      </c>
    </row>
    <row r="195">
      <c r="E195">
        <f>C195*D195</f>
        <v>0</v>
      </c>
    </row>
    <row r="196">
      <c r="E196">
        <f>C196*D196</f>
        <v>0</v>
      </c>
    </row>
    <row r="197">
      <c r="E197">
        <f>C197*D197</f>
        <v>0</v>
      </c>
    </row>
    <row r="198">
      <c r="E198">
        <f>C198*D198</f>
        <v>0</v>
      </c>
    </row>
    <row r="199">
      <c r="E199">
        <f>C199*D199</f>
        <v>0</v>
      </c>
    </row>
    <row r="200">
      <c r="E200">
        <f>C200*D200</f>
        <v>0</v>
      </c>
    </row>
    <row r="201">
      <c r="E201">
        <f>C201*D201</f>
        <v>0</v>
      </c>
    </row>
    <row r="202">
      <c r="E202">
        <f>C202*D202</f>
        <v>0</v>
      </c>
    </row>
    <row r="203">
      <c r="E203">
        <f>C203*D203</f>
        <v>0</v>
      </c>
    </row>
    <row r="204">
      <c r="E204">
        <f>C204*D204</f>
        <v>0</v>
      </c>
    </row>
    <row r="205">
      <c r="E205">
        <f>C205*D205</f>
        <v>0</v>
      </c>
    </row>
    <row r="206">
      <c r="E206">
        <f>C206*D206</f>
        <v>0</v>
      </c>
    </row>
    <row r="207">
      <c r="E207">
        <f>C207*D207</f>
        <v>0</v>
      </c>
    </row>
    <row r="208">
      <c r="E208">
        <f>C208*D208</f>
        <v>0</v>
      </c>
    </row>
    <row r="209">
      <c r="E209">
        <f>C209*D209</f>
        <v>0</v>
      </c>
    </row>
    <row r="210">
      <c r="E210">
        <f>C210*D210</f>
        <v>0</v>
      </c>
    </row>
    <row r="211">
      <c r="E211">
        <f>C211*D211</f>
        <v>0</v>
      </c>
    </row>
    <row r="212">
      <c r="E212">
        <f>C212*D212</f>
        <v>0</v>
      </c>
    </row>
    <row r="213">
      <c r="E213">
        <f>C213*D213</f>
        <v>0</v>
      </c>
    </row>
    <row r="214">
      <c r="E214">
        <f>C214*D214</f>
        <v>0</v>
      </c>
    </row>
    <row r="215">
      <c r="E215">
        <f>C215*D215</f>
        <v>0</v>
      </c>
    </row>
    <row r="216">
      <c r="E216">
        <f>C216*D216</f>
        <v>0</v>
      </c>
    </row>
    <row r="217">
      <c r="E217">
        <f>C217*D217</f>
        <v>0</v>
      </c>
    </row>
    <row r="218">
      <c r="E218">
        <f>C218*D218</f>
        <v>0</v>
      </c>
    </row>
    <row r="219">
      <c r="E219">
        <f>C219*D219</f>
        <v>0</v>
      </c>
    </row>
    <row r="220">
      <c r="E220">
        <f>C220*D220</f>
        <v>0</v>
      </c>
    </row>
    <row r="221">
      <c r="E221">
        <f>C221*D221</f>
        <v>0</v>
      </c>
    </row>
    <row r="222">
      <c r="E222">
        <f>C222*D222</f>
        <v>0</v>
      </c>
    </row>
    <row r="223">
      <c r="E223">
        <f>C223*D223</f>
        <v>0</v>
      </c>
    </row>
    <row r="224">
      <c r="E224">
        <f>C224*D224</f>
        <v>0</v>
      </c>
    </row>
    <row r="225">
      <c r="E225">
        <f>C225*D225</f>
        <v>0</v>
      </c>
    </row>
    <row r="226">
      <c r="E226">
        <f>C226*D226</f>
        <v>0</v>
      </c>
    </row>
    <row r="227">
      <c r="E227">
        <f>C227*D227</f>
        <v>0</v>
      </c>
    </row>
    <row r="228">
      <c r="E228">
        <f>C228*D228</f>
        <v>0</v>
      </c>
    </row>
    <row r="229">
      <c r="E229">
        <f>C229*D229</f>
        <v>0</v>
      </c>
    </row>
    <row r="230">
      <c r="E230">
        <f>C230*D230</f>
        <v>0</v>
      </c>
    </row>
    <row r="231">
      <c r="E231">
        <f>C231*D231</f>
        <v>0</v>
      </c>
    </row>
    <row r="232">
      <c r="E232">
        <f>C232*D232</f>
        <v>0</v>
      </c>
    </row>
    <row r="233">
      <c r="E233">
        <f>C233*D233</f>
        <v>0</v>
      </c>
    </row>
    <row r="234">
      <c r="E234">
        <f>C234*D234</f>
        <v>0</v>
      </c>
    </row>
    <row r="235">
      <c r="E235">
        <f>C235*D235</f>
        <v>0</v>
      </c>
    </row>
    <row r="236">
      <c r="E236">
        <f>C236*D236</f>
        <v>0</v>
      </c>
    </row>
    <row r="237">
      <c r="E237">
        <f>C237*D237</f>
        <v>0</v>
      </c>
    </row>
    <row r="238">
      <c r="E238">
        <f>C238*D238</f>
        <v>0</v>
      </c>
    </row>
    <row r="239">
      <c r="E239">
        <f>C239*D239</f>
        <v>0</v>
      </c>
    </row>
    <row r="240">
      <c r="E240">
        <f>C240*D240</f>
        <v>0</v>
      </c>
    </row>
    <row r="241">
      <c r="E241">
        <f>C241*D241</f>
        <v>0</v>
      </c>
    </row>
    <row r="242">
      <c r="E242">
        <f>C242*D242</f>
        <v>0</v>
      </c>
    </row>
    <row r="243">
      <c r="E243">
        <f>C243*D243</f>
        <v>0</v>
      </c>
    </row>
    <row r="244">
      <c r="E244">
        <f>C244*D244</f>
        <v>0</v>
      </c>
    </row>
    <row r="245">
      <c r="E245">
        <f>C245*D245</f>
        <v>0</v>
      </c>
    </row>
    <row r="246">
      <c r="E246">
        <f>C246*D246</f>
        <v>0</v>
      </c>
    </row>
    <row r="247">
      <c r="E247">
        <f>C247*D247</f>
        <v>0</v>
      </c>
    </row>
    <row r="248">
      <c r="E248">
        <f>C248*D248</f>
        <v>0</v>
      </c>
    </row>
    <row r="249">
      <c r="E249">
        <f>C249*D249</f>
        <v>0</v>
      </c>
    </row>
    <row r="250">
      <c r="E250">
        <f>C250*D250</f>
        <v>0</v>
      </c>
    </row>
    <row r="251">
      <c r="E251">
        <f>C251*D251</f>
        <v>0</v>
      </c>
    </row>
    <row r="252">
      <c r="E252">
        <f>C252*D252</f>
        <v>0</v>
      </c>
    </row>
    <row r="253">
      <c r="E253">
        <f>C253*D253</f>
        <v>0</v>
      </c>
    </row>
    <row r="254">
      <c r="E254">
        <f>C254*D254</f>
        <v>0</v>
      </c>
    </row>
    <row r="255">
      <c r="E255">
        <f>C255*D255</f>
        <v>0</v>
      </c>
    </row>
    <row r="256">
      <c r="E256">
        <f>C256*D256</f>
        <v>0</v>
      </c>
    </row>
    <row r="257">
      <c r="E257">
        <f>C257*D257</f>
        <v>0</v>
      </c>
    </row>
    <row r="258">
      <c r="E258">
        <f>C258*D258</f>
        <v>0</v>
      </c>
    </row>
    <row r="259">
      <c r="E259">
        <f>C259*D259</f>
        <v>0</v>
      </c>
    </row>
    <row r="260">
      <c r="E260">
        <f>C260*D260</f>
        <v>0</v>
      </c>
    </row>
    <row r="261">
      <c r="E261">
        <f>C261*D261</f>
        <v>0</v>
      </c>
    </row>
    <row r="262">
      <c r="E262">
        <f>C262*D262</f>
        <v>0</v>
      </c>
    </row>
    <row r="263">
      <c r="E263">
        <f>C263*D263</f>
        <v>0</v>
      </c>
    </row>
    <row r="264">
      <c r="E264">
        <f>C264*D264</f>
        <v>0</v>
      </c>
    </row>
    <row r="265">
      <c r="E265">
        <f>C265*D265</f>
        <v>0</v>
      </c>
    </row>
    <row r="266">
      <c r="E266">
        <f>C266*D266</f>
        <v>0</v>
      </c>
    </row>
    <row r="267">
      <c r="E267">
        <f>C267*D267</f>
        <v>0</v>
      </c>
    </row>
    <row r="268">
      <c r="E268">
        <f>C268*D268</f>
        <v>0</v>
      </c>
    </row>
    <row r="269">
      <c r="E269">
        <f>C269*D269</f>
        <v>0</v>
      </c>
    </row>
    <row r="270">
      <c r="E270">
        <f>C270*D270</f>
        <v>0</v>
      </c>
    </row>
    <row r="271">
      <c r="E271">
        <f>C271*D271</f>
        <v>0</v>
      </c>
    </row>
    <row r="272">
      <c r="E272">
        <f>C272*D272</f>
        <v>0</v>
      </c>
    </row>
    <row r="273">
      <c r="E273">
        <f>C273*D273</f>
        <v>0</v>
      </c>
    </row>
    <row r="274">
      <c r="E274">
        <f>C274*D274</f>
        <v>0</v>
      </c>
    </row>
    <row r="275">
      <c r="E275">
        <f>C275*D275</f>
        <v>0</v>
      </c>
    </row>
    <row r="276">
      <c r="E276">
        <f>C276*D276</f>
        <v>0</v>
      </c>
    </row>
    <row r="277">
      <c r="E277">
        <f>C277*D277</f>
        <v>0</v>
      </c>
    </row>
    <row r="278">
      <c r="E278">
        <f>C278*D278</f>
        <v>0</v>
      </c>
    </row>
    <row r="279">
      <c r="E279">
        <f>C279*D279</f>
        <v>0</v>
      </c>
    </row>
    <row r="280">
      <c r="E280">
        <f>C280*D280</f>
        <v>0</v>
      </c>
    </row>
    <row r="281">
      <c r="E281">
        <f>C281*D281</f>
        <v>0</v>
      </c>
    </row>
    <row r="282">
      <c r="E282">
        <f>C282*D282</f>
        <v>0</v>
      </c>
    </row>
    <row r="283">
      <c r="E283">
        <f>C283*D283</f>
        <v>0</v>
      </c>
    </row>
    <row r="284">
      <c r="E284">
        <f>C284*D284</f>
        <v>0</v>
      </c>
    </row>
    <row r="285">
      <c r="E285">
        <f>C285*D285</f>
        <v>0</v>
      </c>
    </row>
    <row r="286">
      <c r="E286">
        <f>C286*D286</f>
        <v>0</v>
      </c>
    </row>
    <row r="287">
      <c r="E287">
        <f>C287*D287</f>
        <v>0</v>
      </c>
    </row>
    <row r="288">
      <c r="E288">
        <f>C288*D288</f>
        <v>0</v>
      </c>
    </row>
    <row r="289">
      <c r="E289">
        <f>C289*D289</f>
        <v>0</v>
      </c>
    </row>
    <row r="290">
      <c r="E290">
        <f>C290*D290</f>
        <v>0</v>
      </c>
    </row>
    <row r="291">
      <c r="E291">
        <f>C291*D291</f>
        <v>0</v>
      </c>
    </row>
    <row r="292">
      <c r="E292">
        <f>C292*D292</f>
        <v>0</v>
      </c>
    </row>
    <row r="293">
      <c r="E293">
        <f>C293*D293</f>
        <v>0</v>
      </c>
    </row>
    <row r="294">
      <c r="E294">
        <f>C294*D294</f>
        <v>0</v>
      </c>
    </row>
    <row r="295">
      <c r="E295">
        <f>C295*D295</f>
        <v>0</v>
      </c>
    </row>
    <row r="296">
      <c r="E296">
        <f>C296*D296</f>
        <v>0</v>
      </c>
    </row>
    <row r="297">
      <c r="E297">
        <f>C297*D297</f>
        <v>0</v>
      </c>
    </row>
    <row r="298">
      <c r="E298">
        <f>C298*D298</f>
        <v>0</v>
      </c>
    </row>
    <row r="299">
      <c r="E299">
        <f>C299*D299</f>
        <v>0</v>
      </c>
    </row>
    <row r="300">
      <c r="E300">
        <f>C300*D300</f>
        <v>0</v>
      </c>
    </row>
    <row r="301">
      <c r="E301">
        <f>C301*D301</f>
        <v>0</v>
      </c>
    </row>
    <row r="302">
      <c r="E302">
        <f>C302*D302</f>
        <v>0</v>
      </c>
    </row>
    <row r="303">
      <c r="E303">
        <f>C303*D303</f>
        <v>0</v>
      </c>
    </row>
    <row r="304">
      <c r="E304">
        <f>C304*D304</f>
        <v>0</v>
      </c>
    </row>
    <row r="305">
      <c r="E305">
        <f>C305*D305</f>
        <v>0</v>
      </c>
    </row>
    <row r="306">
      <c r="E306">
        <f>C306*D306</f>
        <v>0</v>
      </c>
    </row>
    <row r="307">
      <c r="E307">
        <f>C307*D307</f>
        <v>0</v>
      </c>
    </row>
    <row r="308">
      <c r="E308">
        <f>C308*D308</f>
        <v>0</v>
      </c>
    </row>
    <row r="309">
      <c r="E309">
        <f>C309*D309</f>
        <v>0</v>
      </c>
    </row>
    <row r="310">
      <c r="E310">
        <f>C310*D310</f>
        <v>0</v>
      </c>
    </row>
    <row r="311">
      <c r="E311">
        <f>C311*D311</f>
        <v>0</v>
      </c>
    </row>
    <row r="312">
      <c r="E312">
        <f>C312*D312</f>
        <v>0</v>
      </c>
    </row>
    <row r="313">
      <c r="E313">
        <f>C313*D313</f>
        <v>0</v>
      </c>
    </row>
    <row r="314">
      <c r="E314">
        <f>C314*D314</f>
        <v>0</v>
      </c>
    </row>
    <row r="315">
      <c r="E315">
        <f>C315*D315</f>
        <v>0</v>
      </c>
    </row>
    <row r="316">
      <c r="E316">
        <f>C316*D316</f>
        <v>0</v>
      </c>
    </row>
    <row r="317">
      <c r="E317">
        <f>C317*D317</f>
        <v>0</v>
      </c>
    </row>
    <row r="318">
      <c r="E318">
        <f>C318*D318</f>
        <v>0</v>
      </c>
    </row>
    <row r="319">
      <c r="E319">
        <f>C319*D319</f>
        <v>0</v>
      </c>
    </row>
    <row r="320">
      <c r="E320">
        <f>C320*D320</f>
        <v>0</v>
      </c>
    </row>
    <row r="321">
      <c r="E321">
        <f>C321*D321</f>
        <v>0</v>
      </c>
    </row>
    <row r="322">
      <c r="E322">
        <f>C322*D322</f>
        <v>0</v>
      </c>
    </row>
    <row r="323">
      <c r="E323">
        <f>C323*D323</f>
        <v>0</v>
      </c>
    </row>
    <row r="324">
      <c r="E324">
        <f>C324*D324</f>
        <v>0</v>
      </c>
    </row>
    <row r="325">
      <c r="E325">
        <f>C325*D325</f>
        <v>0</v>
      </c>
    </row>
    <row r="326">
      <c r="E326">
        <f>C326*D326</f>
        <v>0</v>
      </c>
    </row>
    <row r="327">
      <c r="E327">
        <f>C327*D327</f>
        <v>0</v>
      </c>
    </row>
    <row r="328">
      <c r="E328">
        <f>C328*D328</f>
        <v>0</v>
      </c>
    </row>
    <row r="329">
      <c r="E329">
        <f>C329*D329</f>
        <v>0</v>
      </c>
    </row>
    <row r="330">
      <c r="E330">
        <f>C330*D330</f>
        <v>0</v>
      </c>
    </row>
    <row r="331">
      <c r="E331">
        <f>C331*D331</f>
        <v>0</v>
      </c>
    </row>
    <row r="332">
      <c r="E332">
        <f>C332*D332</f>
        <v>0</v>
      </c>
    </row>
    <row r="333">
      <c r="E333">
        <f>C333*D333</f>
        <v>0</v>
      </c>
    </row>
    <row r="334">
      <c r="E334">
        <f>C334*D334</f>
        <v>0</v>
      </c>
    </row>
  </sheetData>
  <pageMargins left="0.7" right="0.7" top="0.75" bottom="0.75" header="0" footer="0"/>
  <ignoredErrors>
    <ignoredError numberStoredAsText="1" sqref="A1:Z12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208"/>
  <sheetViews>
    <sheetView workbookViewId="0" rightToLeft="0"/>
  </sheetViews>
  <sheetData>
    <row r="1">
      <c r="A1" t="str">
        <v xml:space="preserve">    </v>
      </c>
    </row>
    <row r="2">
      <c r="E2">
        <f>SUM(E4:E150)</f>
        <v>104538.68</v>
      </c>
      <c r="K2">
        <f>SUM(K4:K31)</f>
        <v>104538.68</v>
      </c>
    </row>
    <row r="3">
      <c r="B3" t="str">
        <v>date</v>
      </c>
      <c r="C3" t="str">
        <v>unit price</v>
      </c>
      <c r="D3" t="str">
        <v>qtty</v>
      </c>
      <c r="E3" t="str">
        <v>total</v>
      </c>
      <c r="H3" t="str">
        <v>anomalies</v>
      </c>
      <c r="I3" t="str">
        <v xml:space="preserve">   </v>
      </c>
      <c r="J3" t="str">
        <v>category</v>
      </c>
      <c r="K3" t="str">
        <v>amount</v>
      </c>
      <c r="M3" t="str">
        <v>ave daily</v>
      </c>
    </row>
    <row r="4">
      <c r="B4">
        <v>46082</v>
      </c>
      <c r="C4">
        <f>530/3</f>
        <v>176.6666667</v>
      </c>
      <c r="D4">
        <v>3</v>
      </c>
      <c r="E4">
        <f>C4*D4</f>
        <v>530</v>
      </c>
      <c r="F4" t="str">
        <v>Joy Sari Sari Store: Bangus</v>
      </c>
      <c r="G4" t="str">
        <v>staff meals</v>
      </c>
      <c r="I4">
        <v>1</v>
      </c>
      <c r="J4" t="str">
        <v>admin</v>
      </c>
      <c r="K4">
        <f>SUMIF($G:G,J4,$E:E)</f>
        <v>175</v>
      </c>
      <c r="L4">
        <f>K4/$K$2</f>
        <v>0.00167402152</v>
      </c>
      <c r="M4">
        <f>K4/31</f>
        <v>5.64516129</v>
      </c>
    </row>
    <row r="5">
      <c r="B5">
        <v>46082</v>
      </c>
      <c r="C5">
        <v>30</v>
      </c>
      <c r="D5">
        <v>2</v>
      </c>
      <c r="E5">
        <f>C5*D5</f>
        <v>60</v>
      </c>
      <c r="F5" t="str">
        <v>Joy Sari Sari Store: Gulay</v>
      </c>
      <c r="G5" t="str">
        <v>staff meals</v>
      </c>
      <c r="I5">
        <v>2</v>
      </c>
      <c r="J5" t="str">
        <v>breakfast</v>
      </c>
      <c r="K5">
        <f>SUMIF($G:G,J5,$E:E)</f>
        <v>26421.35</v>
      </c>
      <c r="L5">
        <f>K5/$K$2</f>
        <v>0.2527423342</v>
      </c>
    </row>
    <row r="6">
      <c r="B6">
        <v>46082</v>
      </c>
      <c r="C6">
        <v>40</v>
      </c>
      <c r="D6">
        <v>1</v>
      </c>
      <c r="E6">
        <f>C6*D6</f>
        <v>40</v>
      </c>
      <c r="F6" t="str">
        <v>Joy Sari Sari Store: Sibuyas</v>
      </c>
      <c r="G6" t="str">
        <v>staff meals</v>
      </c>
      <c r="I6">
        <v>3</v>
      </c>
      <c r="J6" t="str">
        <v>cellphone</v>
      </c>
      <c r="K6">
        <f>SUMIF($G:G,J6,$E:E)</f>
        <v>0</v>
      </c>
      <c r="L6">
        <f>K6/$K$2</f>
        <v>0</v>
      </c>
      <c r="M6">
        <f>K6/31</f>
        <v>0</v>
      </c>
    </row>
    <row r="7">
      <c r="B7">
        <v>46082</v>
      </c>
      <c r="C7">
        <v>40</v>
      </c>
      <c r="D7">
        <v>1</v>
      </c>
      <c r="E7">
        <v>20</v>
      </c>
      <c r="F7" t="str">
        <v>Joy Sari Sari Store: Sitaw</v>
      </c>
      <c r="G7" t="str">
        <v>staff meals</v>
      </c>
      <c r="I7">
        <v>4</v>
      </c>
      <c r="J7" t="str">
        <v>cleaning</v>
      </c>
      <c r="K7">
        <f>SUMIF($G:G,J7,$E:E)</f>
        <v>0</v>
      </c>
      <c r="L7">
        <f>K7/$K$2</f>
        <v>0</v>
      </c>
      <c r="M7">
        <f>K7/31</f>
        <v>0</v>
      </c>
    </row>
    <row r="8">
      <c r="B8">
        <v>46082</v>
      </c>
      <c r="C8">
        <v>20</v>
      </c>
      <c r="D8">
        <v>1</v>
      </c>
      <c r="E8">
        <v>42</v>
      </c>
      <c r="F8" t="str">
        <v>Joy Sari Sari Store: Magic sarap</v>
      </c>
      <c r="G8" t="str">
        <v>staff meals</v>
      </c>
      <c r="I8">
        <v>5</v>
      </c>
      <c r="J8" t="str">
        <v>coffee</v>
      </c>
      <c r="K8">
        <f>SUMIF($G:G,J8,$E:E)</f>
        <v>2525.25</v>
      </c>
      <c r="L8">
        <f>K8/$K$2</f>
        <v>0.02415613053</v>
      </c>
      <c r="M8">
        <f>K8/31</f>
        <v>81.45967742</v>
      </c>
    </row>
    <row r="9">
      <c r="B9">
        <v>46083</v>
      </c>
      <c r="C9">
        <v>45</v>
      </c>
      <c r="D9">
        <v>1</v>
      </c>
      <c r="E9">
        <f>C9*D9</f>
        <v>45</v>
      </c>
      <c r="F9" t="str">
        <v>Joy Sari Sari Store: Apple</v>
      </c>
      <c r="G9" t="str">
        <v>breakfast</v>
      </c>
      <c r="I9">
        <v>6</v>
      </c>
      <c r="J9" t="str">
        <v>compliance</v>
      </c>
      <c r="K9">
        <f>SUMIF($G:G,J9,$E:E)</f>
        <v>2120</v>
      </c>
      <c r="L9">
        <f>K9/$K$2</f>
        <v>0.02027957499</v>
      </c>
      <c r="M9">
        <f>K9/31</f>
        <v>68.38709677</v>
      </c>
    </row>
    <row r="10">
      <c r="B10">
        <v>46084</v>
      </c>
      <c r="C10">
        <v>240</v>
      </c>
      <c r="D10">
        <v>5</v>
      </c>
      <c r="E10">
        <f>C10*D10</f>
        <v>1200</v>
      </c>
      <c r="F10" t="str">
        <v>Palengke: kapak</v>
      </c>
      <c r="G10" t="str">
        <v>breakfast</v>
      </c>
      <c r="I10">
        <v>7</v>
      </c>
      <c r="J10" t="str">
        <v>donation</v>
      </c>
      <c r="K10">
        <f>SUMIF($G:G,J10,$E:E)</f>
        <v>0</v>
      </c>
      <c r="L10">
        <f>K10/$K$2</f>
        <v>0</v>
      </c>
      <c r="M10">
        <f>K10/31</f>
        <v>0</v>
      </c>
    </row>
    <row r="11">
      <c r="B11">
        <v>46084</v>
      </c>
      <c r="C11">
        <f>480/3</f>
        <v>160</v>
      </c>
      <c r="D11">
        <v>3</v>
      </c>
      <c r="E11">
        <f>C11*D11</f>
        <v>480</v>
      </c>
      <c r="F11" t="str">
        <v xml:space="preserve"> Palengke: Bawang</v>
      </c>
      <c r="G11" t="str">
        <v>breakfast</v>
      </c>
      <c r="I11">
        <v>8</v>
      </c>
      <c r="J11" t="str">
        <v>electricity</v>
      </c>
      <c r="K11">
        <f>SUMIF($G:G,J11,$E:E)</f>
        <v>34630.58</v>
      </c>
      <c r="L11">
        <f>K11/$K$2</f>
        <v>0.3312704924</v>
      </c>
      <c r="M11">
        <f>K11/31</f>
        <v>1117.115484</v>
      </c>
    </row>
    <row r="12">
      <c r="B12">
        <v>46084</v>
      </c>
      <c r="C12">
        <v>398</v>
      </c>
      <c r="D12">
        <v>1</v>
      </c>
      <c r="E12">
        <f>C12*D12</f>
        <v>398</v>
      </c>
      <c r="F12" t="str">
        <v>Palengke:Fabcon</v>
      </c>
      <c r="G12" t="str">
        <v>laundry</v>
      </c>
      <c r="I12">
        <v>9</v>
      </c>
      <c r="J12" t="str">
        <v>extra staff</v>
      </c>
      <c r="K12">
        <f>SUMIF($G:G,J12,$E:E)</f>
        <v>0</v>
      </c>
      <c r="L12">
        <f>K12/$K$2</f>
        <v>0</v>
      </c>
      <c r="M12">
        <f>K12/31</f>
        <v>0</v>
      </c>
    </row>
    <row r="13">
      <c r="B13">
        <v>46084</v>
      </c>
      <c r="C13">
        <v>1300</v>
      </c>
      <c r="D13">
        <v>2</v>
      </c>
      <c r="E13">
        <f>C13*D13</f>
        <v>2600</v>
      </c>
      <c r="F13" t="str">
        <v>Palengke: MJC4 RICE STORE</v>
      </c>
      <c r="G13" t="str">
        <v>breakfast</v>
      </c>
      <c r="I13">
        <v>10</v>
      </c>
      <c r="J13" t="str">
        <v>garden</v>
      </c>
      <c r="K13">
        <f>SUMIF($G:G,J13,$E:E)</f>
        <v>500</v>
      </c>
      <c r="L13">
        <f>K13/$K$2</f>
        <v>0.004782918629</v>
      </c>
      <c r="M13">
        <f>K13/31</f>
        <v>16.12903226</v>
      </c>
    </row>
    <row r="14">
      <c r="B14">
        <v>46084</v>
      </c>
      <c r="C14">
        <v>144.25</v>
      </c>
      <c r="D14">
        <v>1</v>
      </c>
      <c r="E14">
        <f>C14*D14</f>
        <v>144.25</v>
      </c>
      <c r="F14" t="str">
        <v>Puregold: Zonrox</v>
      </c>
      <c r="G14" t="str">
        <v>laundry</v>
      </c>
      <c r="I14">
        <v>11</v>
      </c>
      <c r="J14" t="str">
        <v>genset</v>
      </c>
      <c r="K14">
        <f>SUMIF($G:G,J14,$E:E)</f>
        <v>5000</v>
      </c>
      <c r="L14">
        <f>K14/$K$2</f>
        <v>0.04782918629</v>
      </c>
      <c r="M14">
        <f>K14/31</f>
        <v>161.2903226</v>
      </c>
    </row>
    <row r="15">
      <c r="B15">
        <v>46084</v>
      </c>
      <c r="C15">
        <v>190</v>
      </c>
      <c r="D15">
        <v>3</v>
      </c>
      <c r="E15">
        <f>C15*D15</f>
        <v>570</v>
      </c>
      <c r="F15" t="str">
        <v xml:space="preserve"> Puregold: Champion powder</v>
      </c>
      <c r="G15" t="str">
        <v>laundry</v>
      </c>
      <c r="I15">
        <v>12</v>
      </c>
      <c r="J15" t="str">
        <v>horse</v>
      </c>
      <c r="K15">
        <f>SUMIF($G:G,J15,$E:E)</f>
        <v>0</v>
      </c>
      <c r="L15">
        <f>K15/$K$2</f>
        <v>0</v>
      </c>
    </row>
    <row r="16">
      <c r="B16">
        <v>46084</v>
      </c>
      <c r="C16">
        <v>76</v>
      </c>
      <c r="D16">
        <v>3</v>
      </c>
      <c r="E16">
        <f>C16*D16</f>
        <v>228</v>
      </c>
      <c r="F16" t="str">
        <v>Puregold: Eq premium</v>
      </c>
      <c r="G16" t="str">
        <v>coffee</v>
      </c>
      <c r="I16">
        <v>13</v>
      </c>
      <c r="J16" t="str">
        <v>internet</v>
      </c>
      <c r="K16">
        <f>SUMIF($G:G,J16,$E:E)</f>
        <v>3800</v>
      </c>
      <c r="L16">
        <f>K16/$K$2</f>
        <v>0.03635018158</v>
      </c>
    </row>
    <row r="17">
      <c r="B17">
        <v>46084</v>
      </c>
      <c r="C17">
        <v>36.5</v>
      </c>
      <c r="D17">
        <v>2</v>
      </c>
      <c r="E17">
        <f>C17*D17</f>
        <v>73</v>
      </c>
      <c r="F17" t="str">
        <v>Puregold:  knor shrimp</v>
      </c>
      <c r="G17" t="str">
        <v>breakfast</v>
      </c>
      <c r="I17">
        <v>14</v>
      </c>
      <c r="J17" t="str">
        <v>kitchen</v>
      </c>
      <c r="K17">
        <f>SUMIF($G:G,J17,$E:E)</f>
        <v>1905</v>
      </c>
      <c r="L17">
        <f>K17/$K$2</f>
        <v>0.01822291998</v>
      </c>
    </row>
    <row r="18">
      <c r="B18">
        <v>46084</v>
      </c>
      <c r="C18">
        <v>36</v>
      </c>
      <c r="D18">
        <v>3</v>
      </c>
      <c r="E18">
        <f>C18*D18</f>
        <v>108</v>
      </c>
      <c r="F18" t="str">
        <v>Puregold: knor chicken</v>
      </c>
      <c r="G18" t="str">
        <v>breakfast</v>
      </c>
      <c r="I18">
        <v>15</v>
      </c>
      <c r="J18" t="str">
        <v>laundry</v>
      </c>
      <c r="K18">
        <f>SUMIF($G:G,J18,$E:E)</f>
        <v>4289.5</v>
      </c>
      <c r="L18">
        <f>K18/$K$2</f>
        <v>0.04103265892</v>
      </c>
    </row>
    <row r="19">
      <c r="B19">
        <v>46084</v>
      </c>
      <c r="C19">
        <v>92</v>
      </c>
      <c r="D19">
        <v>4</v>
      </c>
      <c r="E19">
        <f>C19*D19</f>
        <v>368</v>
      </c>
      <c r="F19" t="str">
        <v>Puregold: magnolia butter</v>
      </c>
      <c r="G19" t="str">
        <v>breakfast</v>
      </c>
      <c r="I19">
        <v>16</v>
      </c>
      <c r="J19" t="str">
        <v>linens/towels</v>
      </c>
      <c r="K19">
        <f>SUMIF($G:G,J19,$E:E)</f>
        <v>0</v>
      </c>
      <c r="L19">
        <f>K19/$K$2</f>
        <v>0</v>
      </c>
    </row>
    <row r="20">
      <c r="B20">
        <v>46084</v>
      </c>
      <c r="C20">
        <v>264.5</v>
      </c>
      <c r="D20">
        <v>1</v>
      </c>
      <c r="E20">
        <f>C20*D20</f>
        <v>264.5</v>
      </c>
      <c r="F20" t="str">
        <v>Puregold: UFC</v>
      </c>
      <c r="G20" t="str">
        <v>breakfast</v>
      </c>
      <c r="I20">
        <v>17</v>
      </c>
      <c r="J20" t="str">
        <v>lunch/dinner</v>
      </c>
      <c r="K20">
        <f>SUMIF($G:G,J20,$E:E)</f>
        <v>10345</v>
      </c>
      <c r="L20">
        <f>K20/$K$2</f>
        <v>0.09895858643</v>
      </c>
      <c r="M20">
        <f>K20/31</f>
        <v>333.7096774</v>
      </c>
    </row>
    <row r="21">
      <c r="B21">
        <v>46084</v>
      </c>
      <c r="C21">
        <v>144.25</v>
      </c>
      <c r="D21">
        <v>2</v>
      </c>
      <c r="E21">
        <f>C21*D21</f>
        <v>288.5</v>
      </c>
      <c r="F21" t="str">
        <v>Puregold:Zonrox orig</v>
      </c>
      <c r="G21" t="str">
        <v>laundry</v>
      </c>
      <c r="I21">
        <v>18</v>
      </c>
      <c r="J21" t="str">
        <v>maintenance</v>
      </c>
      <c r="K21">
        <f>SUMIF($G:G,J21,$E:E)</f>
        <v>349</v>
      </c>
      <c r="L21">
        <f>K21/$K$2</f>
        <v>0.003338477203</v>
      </c>
    </row>
    <row r="22">
      <c r="B22">
        <v>46084</v>
      </c>
      <c r="C22">
        <v>43</v>
      </c>
      <c r="D22">
        <v>2</v>
      </c>
      <c r="E22">
        <f>C22*D22</f>
        <v>86</v>
      </c>
      <c r="F22" t="str">
        <v>Puregold:Zonrox orig</v>
      </c>
      <c r="G22" t="str">
        <v>laundry</v>
      </c>
      <c r="I22">
        <v>19</v>
      </c>
      <c r="J22" t="str">
        <v>meal</v>
      </c>
      <c r="K22">
        <f>SUMIF($G:G,J22,$E:E)</f>
        <v>0</v>
      </c>
      <c r="L22">
        <f>K22/$K$2</f>
        <v>0</v>
      </c>
    </row>
    <row r="23">
      <c r="B23">
        <v>46084</v>
      </c>
      <c r="C23">
        <v>190</v>
      </c>
      <c r="D23">
        <v>1</v>
      </c>
      <c r="E23">
        <f>C23*D23</f>
        <v>190</v>
      </c>
      <c r="F23" t="str">
        <v>Puregold: Champion powder</v>
      </c>
      <c r="G23" t="str">
        <v>laundry</v>
      </c>
      <c r="I23">
        <v>20</v>
      </c>
      <c r="J23" t="str">
        <v>miscellaneous</v>
      </c>
      <c r="K23">
        <f>SUMIF($G:G,J23,$E:E)</f>
        <v>1880</v>
      </c>
      <c r="L23">
        <f>K23/$K$2</f>
        <v>0.01798377404</v>
      </c>
    </row>
    <row r="24">
      <c r="B24">
        <v>46084</v>
      </c>
      <c r="C24">
        <v>190</v>
      </c>
      <c r="D24">
        <v>1</v>
      </c>
      <c r="E24">
        <f>C24*D24</f>
        <v>190</v>
      </c>
      <c r="F24" t="str">
        <v>Puregold: Champion powder</v>
      </c>
      <c r="G24" t="str">
        <v>laundry</v>
      </c>
      <c r="I24">
        <v>21</v>
      </c>
      <c r="J24" t="str">
        <v>pool</v>
      </c>
      <c r="K24">
        <f>SUMIF($G:G,J24,$E:E)</f>
        <v>0</v>
      </c>
      <c r="L24">
        <f>K24/$K$2</f>
        <v>0</v>
      </c>
    </row>
    <row r="25">
      <c r="B25">
        <v>46084</v>
      </c>
      <c r="C25">
        <v>199</v>
      </c>
      <c r="D25">
        <v>3</v>
      </c>
      <c r="E25">
        <f>C25*D25</f>
        <v>597</v>
      </c>
      <c r="F25" t="str">
        <v>Puregold:Calla powder</v>
      </c>
      <c r="G25" t="str">
        <v>laundry</v>
      </c>
      <c r="I25">
        <v>22</v>
      </c>
      <c r="J25" t="str">
        <v>recreation</v>
      </c>
      <c r="K25">
        <f>SUMIF($G:G,J25,$E:E)</f>
        <v>0</v>
      </c>
      <c r="L25">
        <f>K25/$K$2</f>
        <v>0</v>
      </c>
      <c r="M25">
        <f>K25/31</f>
        <v>0</v>
      </c>
    </row>
    <row r="26">
      <c r="B26">
        <v>46084</v>
      </c>
      <c r="C26">
        <v>118.25</v>
      </c>
      <c r="D26">
        <v>5</v>
      </c>
      <c r="E26">
        <f>C26*D26</f>
        <v>591.25</v>
      </c>
      <c r="F26" t="str">
        <v>Puregold: Coffee mate</v>
      </c>
      <c r="G26" t="str">
        <v>coffee</v>
      </c>
      <c r="I26">
        <v>23</v>
      </c>
      <c r="J26" t="str">
        <v>repair</v>
      </c>
      <c r="K26">
        <f>SUMIF($G:G,J26,$E:E)</f>
        <v>0</v>
      </c>
      <c r="L26">
        <f>K26/$K$2</f>
        <v>0</v>
      </c>
      <c r="M26">
        <f>K26/31</f>
        <v>0</v>
      </c>
    </row>
    <row r="27">
      <c r="B27">
        <v>46084</v>
      </c>
      <c r="C27">
        <v>76</v>
      </c>
      <c r="D27">
        <v>4</v>
      </c>
      <c r="E27">
        <f>C27*D27</f>
        <v>304</v>
      </c>
      <c r="F27" t="str">
        <v>Puregold:Eq premium</v>
      </c>
      <c r="G27" t="str">
        <v>coffee</v>
      </c>
      <c r="I27">
        <v>24</v>
      </c>
      <c r="J27" t="str">
        <v>staff meals</v>
      </c>
      <c r="K27">
        <f>SUMIF($G:G,J27,$E:E)</f>
        <v>8138</v>
      </c>
      <c r="L27">
        <f>K27/$K$2</f>
        <v>0.0778467836</v>
      </c>
      <c r="M27">
        <f>K27/31</f>
        <v>262.516129</v>
      </c>
    </row>
    <row r="28">
      <c r="B28">
        <v>46084</v>
      </c>
      <c r="C28">
        <v>1400</v>
      </c>
      <c r="D28">
        <v>1</v>
      </c>
      <c r="E28">
        <f>C28*D28</f>
        <v>1400</v>
      </c>
      <c r="F28" t="str">
        <v>Palengke: Hipon</v>
      </c>
      <c r="G28" t="str">
        <v>lunch/dinner</v>
      </c>
      <c r="I28">
        <v>25</v>
      </c>
      <c r="J28" t="str">
        <v>store</v>
      </c>
      <c r="K28">
        <f>SUMIF($G:G,J28,$E:E)</f>
        <v>180</v>
      </c>
      <c r="L28">
        <f>K28/$K$2</f>
        <v>0.001721850706</v>
      </c>
    </row>
    <row r="29">
      <c r="B29">
        <v>46084</v>
      </c>
      <c r="C29">
        <v>600</v>
      </c>
      <c r="D29">
        <v>1</v>
      </c>
      <c r="E29">
        <f>C29*D29</f>
        <v>600</v>
      </c>
      <c r="F29" t="str">
        <v>Palengke:Bangus</v>
      </c>
      <c r="G29" t="str">
        <v>lunch/dinner</v>
      </c>
      <c r="I29">
        <v>26</v>
      </c>
      <c r="J29" t="str">
        <v>transpo</v>
      </c>
      <c r="K29">
        <f>SUMIF($G:G,J29,$E:E)</f>
        <v>300</v>
      </c>
      <c r="L29">
        <f>K29/$K$2</f>
        <v>0.002869751177</v>
      </c>
      <c r="M29">
        <f>K29/31</f>
        <v>9.677419355</v>
      </c>
    </row>
    <row r="30">
      <c r="B30">
        <v>46084</v>
      </c>
      <c r="C30">
        <v>600</v>
      </c>
      <c r="D30">
        <v>1</v>
      </c>
      <c r="E30">
        <f>C30*D30</f>
        <v>600</v>
      </c>
      <c r="F30" t="str">
        <v>Palengke:Salmon</v>
      </c>
      <c r="G30" t="str">
        <v>lunch/dinner</v>
      </c>
      <c r="I30">
        <v>27</v>
      </c>
      <c r="J30" t="str">
        <v>uniforms</v>
      </c>
      <c r="K30">
        <f>SUMIF($G:G,J30,$E:E)</f>
        <v>0</v>
      </c>
      <c r="L30">
        <f>K30/$K$2</f>
        <v>0</v>
      </c>
      <c r="M30">
        <f>K30/31</f>
        <v>0</v>
      </c>
    </row>
    <row r="31">
      <c r="B31">
        <v>46084</v>
      </c>
      <c r="C31">
        <v>1200</v>
      </c>
      <c r="D31">
        <v>1</v>
      </c>
      <c r="E31">
        <f>C31*D31</f>
        <v>1200</v>
      </c>
      <c r="F31" t="str">
        <v>Palengke:pusit</v>
      </c>
      <c r="G31" t="str">
        <v>lunch/dinner</v>
      </c>
      <c r="I31">
        <v>28</v>
      </c>
      <c r="J31" t="str">
        <v>water</v>
      </c>
      <c r="K31">
        <f>SUMIF($G:G,J31,$E:E)</f>
        <v>1980</v>
      </c>
      <c r="L31">
        <f>K31/$K$2</f>
        <v>0.01894035777</v>
      </c>
    </row>
    <row r="32">
      <c r="B32">
        <v>46084</v>
      </c>
      <c r="C32">
        <v>2400</v>
      </c>
      <c r="D32">
        <v>1</v>
      </c>
      <c r="E32">
        <f>C32*D32</f>
        <v>2400</v>
      </c>
      <c r="F32" t="str">
        <v>Palengke:chicken</v>
      </c>
      <c r="G32" t="str">
        <v>lunch/dinner</v>
      </c>
      <c r="L32">
        <f>K32/$K$2</f>
        <v>0</v>
      </c>
    </row>
    <row r="33">
      <c r="B33">
        <v>46084</v>
      </c>
      <c r="C33">
        <v>872</v>
      </c>
      <c r="D33">
        <v>1</v>
      </c>
      <c r="E33">
        <f>C33*D33</f>
        <v>872</v>
      </c>
      <c r="F33" t="str">
        <v>Palengke:Vegetables</v>
      </c>
      <c r="G33" t="str">
        <v>lunch/dinner</v>
      </c>
    </row>
    <row r="34">
      <c r="B34">
        <v>46084</v>
      </c>
      <c r="C34">
        <v>100</v>
      </c>
      <c r="D34">
        <v>1</v>
      </c>
      <c r="E34">
        <f>C34*D34</f>
        <v>100</v>
      </c>
      <c r="F34" t="str">
        <v>Palengke:Paminta</v>
      </c>
      <c r="G34" t="str">
        <v>lunch/dinner</v>
      </c>
    </row>
    <row r="35">
      <c r="B35">
        <v>46084</v>
      </c>
      <c r="C35">
        <v>2000</v>
      </c>
      <c r="D35">
        <v>1</v>
      </c>
      <c r="E35">
        <f>C35*D35</f>
        <v>2000</v>
      </c>
      <c r="F35" t="str">
        <v>Palengke:Native chicken</v>
      </c>
      <c r="G35" t="str">
        <v>lunch/dinner</v>
      </c>
    </row>
    <row r="36">
      <c r="B36">
        <v>46084</v>
      </c>
      <c r="C36">
        <v>50</v>
      </c>
      <c r="D36">
        <v>1</v>
      </c>
      <c r="E36">
        <f>C36*D36</f>
        <v>50</v>
      </c>
      <c r="F36" t="str">
        <v>Palengke:Rool bag</v>
      </c>
      <c r="G36" t="str">
        <v>lunch/dinner</v>
      </c>
    </row>
    <row r="37">
      <c r="B37">
        <v>46084</v>
      </c>
      <c r="C37">
        <v>220</v>
      </c>
      <c r="D37">
        <v>5</v>
      </c>
      <c r="E37">
        <f>C37*D37</f>
        <v>1100</v>
      </c>
      <c r="F37" t="str">
        <v>Shopee: Dishwashing liquid</v>
      </c>
      <c r="G37" t="str">
        <v>kitchen</v>
      </c>
    </row>
    <row r="38">
      <c r="B38">
        <v>46084</v>
      </c>
      <c r="C38">
        <v>250</v>
      </c>
      <c r="D38">
        <v>1</v>
      </c>
      <c r="E38">
        <f>C38*D38</f>
        <v>250</v>
      </c>
      <c r="F38" t="str">
        <v>Shopee: Net</v>
      </c>
      <c r="G38" t="str">
        <v>maintenance</v>
      </c>
    </row>
    <row r="39">
      <c r="B39">
        <v>46085</v>
      </c>
      <c r="C39">
        <v>1880</v>
      </c>
      <c r="D39">
        <v>1</v>
      </c>
      <c r="E39">
        <f>C39*D39</f>
        <v>1880</v>
      </c>
      <c r="F39" t="str">
        <v>Lazada: 3 in 1</v>
      </c>
      <c r="G39" t="str">
        <v>miscellaneous</v>
      </c>
    </row>
    <row r="40">
      <c r="B40">
        <v>46087</v>
      </c>
      <c r="C40">
        <v>500</v>
      </c>
      <c r="D40">
        <v>1</v>
      </c>
      <c r="E40">
        <f>C40*D40</f>
        <v>500</v>
      </c>
      <c r="F40" t="str">
        <v>Regie Velasquez: Gas for mower</v>
      </c>
      <c r="G40" t="str">
        <v>garden</v>
      </c>
      <c r="H40" t="str">
        <v xml:space="preserve"> </v>
      </c>
    </row>
    <row r="41">
      <c r="B41">
        <v>46087</v>
      </c>
      <c r="C41">
        <v>220</v>
      </c>
      <c r="D41">
        <v>3</v>
      </c>
      <c r="E41">
        <f>C41*D41</f>
        <v>660</v>
      </c>
      <c r="F41" t="str">
        <v>Irene Medina: Egg</v>
      </c>
      <c r="G41" t="str">
        <v>breakfast</v>
      </c>
      <c r="L41" t="str">
        <v xml:space="preserve"> </v>
      </c>
    </row>
    <row r="42">
      <c r="B42">
        <v>46087</v>
      </c>
      <c r="C42">
        <v>250</v>
      </c>
      <c r="D42">
        <v>6</v>
      </c>
      <c r="E42">
        <f>C42*D42</f>
        <v>1500</v>
      </c>
      <c r="F42" t="str">
        <v>Tablea</v>
      </c>
      <c r="G42" t="str">
        <v>breakfast</v>
      </c>
    </row>
    <row r="43">
      <c r="B43">
        <v>46087</v>
      </c>
      <c r="C43">
        <v>5000</v>
      </c>
      <c r="D43">
        <v>1</v>
      </c>
      <c r="E43">
        <f>C43*D43</f>
        <v>5000</v>
      </c>
      <c r="F43" t="str">
        <v>Redmel gas: Fuel</v>
      </c>
      <c r="G43" t="str">
        <v>genset</v>
      </c>
    </row>
    <row r="44">
      <c r="B44">
        <v>46087</v>
      </c>
      <c r="C44">
        <v>180</v>
      </c>
      <c r="D44">
        <v>1</v>
      </c>
      <c r="E44">
        <f>C44*D44</f>
        <v>180</v>
      </c>
      <c r="F44" t="str">
        <v>Shopee: toothbrush</v>
      </c>
      <c r="G44" t="str">
        <v>store</v>
      </c>
    </row>
    <row r="45">
      <c r="B45">
        <v>46088</v>
      </c>
      <c r="C45">
        <v>650</v>
      </c>
      <c r="D45">
        <v>1</v>
      </c>
      <c r="E45">
        <f>C45*D45</f>
        <v>650</v>
      </c>
      <c r="F45" t="str">
        <v>Joy Sari Sari Store: Chicken</v>
      </c>
      <c r="G45" t="str">
        <v>staff meals</v>
      </c>
    </row>
    <row r="46">
      <c r="B46">
        <v>46088</v>
      </c>
      <c r="C46">
        <v>40</v>
      </c>
      <c r="D46">
        <v>1</v>
      </c>
      <c r="E46">
        <f>C46*D46</f>
        <v>40</v>
      </c>
      <c r="F46" t="str">
        <v>Joy Sari Sari Store:Puto</v>
      </c>
      <c r="G46" t="str">
        <v>staff meals</v>
      </c>
    </row>
    <row r="47">
      <c r="B47">
        <v>46088</v>
      </c>
      <c r="C47">
        <v>6</v>
      </c>
      <c r="D47">
        <v>1</v>
      </c>
      <c r="E47">
        <f>C47*D47</f>
        <v>6</v>
      </c>
      <c r="F47" t="str">
        <v>Joy Sari Sari Store:magic</v>
      </c>
      <c r="G47" t="str">
        <v>staff meals</v>
      </c>
    </row>
    <row r="48">
      <c r="B48">
        <v>46088</v>
      </c>
      <c r="C48">
        <v>55</v>
      </c>
      <c r="D48">
        <v>1</v>
      </c>
      <c r="E48">
        <f>C48*D48</f>
        <v>55</v>
      </c>
      <c r="F48" t="str">
        <v>Palengke: Talong</v>
      </c>
      <c r="G48" t="str">
        <v>breakfast</v>
      </c>
    </row>
    <row r="49">
      <c r="B49">
        <v>46088</v>
      </c>
      <c r="C49">
        <v>88</v>
      </c>
      <c r="D49">
        <v>1</v>
      </c>
      <c r="E49">
        <f>C49*D49</f>
        <v>88</v>
      </c>
      <c r="F49" t="str">
        <v>Palengke: kamatis</v>
      </c>
      <c r="G49" t="str">
        <v>breakfast</v>
      </c>
    </row>
    <row r="50">
      <c r="B50">
        <v>46088</v>
      </c>
      <c r="C50">
        <v>90</v>
      </c>
      <c r="D50">
        <v>1</v>
      </c>
      <c r="E50">
        <f>C50*D50</f>
        <v>90</v>
      </c>
      <c r="F50" t="str">
        <v>Palengke: okra</v>
      </c>
      <c r="G50" t="str">
        <v>breakfast</v>
      </c>
    </row>
    <row r="51">
      <c r="B51">
        <v>46088</v>
      </c>
      <c r="C51">
        <v>50</v>
      </c>
      <c r="D51">
        <v>1</v>
      </c>
      <c r="E51">
        <f>C51*D51</f>
        <v>50</v>
      </c>
      <c r="F51" t="str">
        <v>Palengke: leeks</v>
      </c>
      <c r="G51" t="str">
        <v>breakfast</v>
      </c>
    </row>
    <row r="52">
      <c r="B52">
        <v>46088</v>
      </c>
      <c r="C52">
        <v>10</v>
      </c>
      <c r="D52">
        <v>1</v>
      </c>
      <c r="E52">
        <f>C52*D52</f>
        <v>10</v>
      </c>
      <c r="F52" t="str">
        <v>Palengke: Labuyo</v>
      </c>
      <c r="G52" t="str">
        <v>breakfast</v>
      </c>
    </row>
    <row r="53">
      <c r="B53">
        <v>46088</v>
      </c>
      <c r="C53">
        <v>520</v>
      </c>
      <c r="D53">
        <v>1</v>
      </c>
      <c r="E53">
        <f>C53*D53</f>
        <v>520</v>
      </c>
      <c r="F53" t="str">
        <v>Palengke: Banana</v>
      </c>
      <c r="G53" t="str">
        <v>breakfast</v>
      </c>
    </row>
    <row r="54">
      <c r="B54">
        <v>46089</v>
      </c>
      <c r="C54">
        <f>555/3</f>
        <v>185</v>
      </c>
      <c r="D54">
        <v>3</v>
      </c>
      <c r="E54">
        <f>C54*D54</f>
        <v>555</v>
      </c>
      <c r="F54" t="str">
        <v>Joy Sari Sari Store: Bangus</v>
      </c>
      <c r="G54" t="str">
        <v>staff meals</v>
      </c>
    </row>
    <row r="55">
      <c r="B55">
        <v>46089</v>
      </c>
      <c r="C55">
        <v>76</v>
      </c>
      <c r="D55">
        <v>1</v>
      </c>
      <c r="E55">
        <f>C55*D55</f>
        <v>76</v>
      </c>
      <c r="F55" t="str">
        <v>Joy Sari Sari Store: upo</v>
      </c>
      <c r="G55" t="str">
        <v>staff meals</v>
      </c>
    </row>
    <row r="56">
      <c r="B56">
        <v>46089</v>
      </c>
      <c r="C56">
        <v>60</v>
      </c>
      <c r="D56">
        <v>1</v>
      </c>
      <c r="E56">
        <f>C56*D56</f>
        <v>60</v>
      </c>
      <c r="F56" t="str">
        <v>Joy Sari Sari Store: petchay</v>
      </c>
      <c r="G56" t="str">
        <v>staff meals</v>
      </c>
    </row>
    <row r="57">
      <c r="B57">
        <v>46089</v>
      </c>
      <c r="C57">
        <v>6</v>
      </c>
      <c r="D57">
        <v>1</v>
      </c>
      <c r="E57">
        <f>C57*D57</f>
        <v>6</v>
      </c>
      <c r="F57" t="str">
        <v>Joy Sari Sari Store: Magic sarap</v>
      </c>
      <c r="G57" t="str">
        <v>staff meals</v>
      </c>
    </row>
    <row r="58">
      <c r="B58">
        <v>46094</v>
      </c>
      <c r="C58">
        <v>390</v>
      </c>
      <c r="D58">
        <v>1</v>
      </c>
      <c r="E58">
        <f>C58*D58</f>
        <v>390</v>
      </c>
      <c r="F58" t="str">
        <v>Joy Sari Sari Store: Gigi</v>
      </c>
      <c r="G58" t="str">
        <v>staff meals</v>
      </c>
    </row>
    <row r="59">
      <c r="B59">
        <v>46094</v>
      </c>
      <c r="C59">
        <v>105</v>
      </c>
      <c r="D59">
        <v>1</v>
      </c>
      <c r="E59">
        <f>C59*D59</f>
        <v>105</v>
      </c>
      <c r="F59" t="str">
        <v>Joy Sari Sari Store: Monggo</v>
      </c>
      <c r="G59" t="str">
        <v>staff meals</v>
      </c>
    </row>
    <row r="60">
      <c r="B60">
        <v>46094</v>
      </c>
      <c r="C60">
        <v>140</v>
      </c>
      <c r="D60">
        <v>1</v>
      </c>
      <c r="E60">
        <f>C60*D60</f>
        <v>140</v>
      </c>
      <c r="F60" t="str">
        <v>Joy Sari Sari Store: C- Baboy</v>
      </c>
      <c r="G60" t="str">
        <v>staff meals</v>
      </c>
    </row>
    <row r="61">
      <c r="B61">
        <v>46094</v>
      </c>
      <c r="C61">
        <v>36</v>
      </c>
      <c r="D61">
        <v>1</v>
      </c>
      <c r="E61">
        <f>C61*D61</f>
        <v>36</v>
      </c>
      <c r="F61" t="str">
        <v>Joy Sari Sari Store: Magic sarap</v>
      </c>
      <c r="G61" t="str">
        <v>staff meals</v>
      </c>
    </row>
    <row r="62">
      <c r="B62">
        <v>46094</v>
      </c>
      <c r="C62">
        <v>39</v>
      </c>
      <c r="D62">
        <v>1</v>
      </c>
      <c r="E62">
        <f>C62*D62</f>
        <v>39</v>
      </c>
      <c r="F62" t="str">
        <v>Joy Sari Sari Store: Sibuyas</v>
      </c>
      <c r="G62" t="str">
        <v>staff meals</v>
      </c>
    </row>
    <row r="63">
      <c r="B63">
        <v>46095</v>
      </c>
      <c r="C63">
        <v>220</v>
      </c>
      <c r="D63">
        <v>2</v>
      </c>
      <c r="E63">
        <f>C63*D63</f>
        <v>440</v>
      </c>
      <c r="F63" t="str">
        <v>Irene Medina: Egg</v>
      </c>
      <c r="G63" t="str">
        <v>breakfast</v>
      </c>
    </row>
    <row r="64">
      <c r="B64">
        <v>46095</v>
      </c>
      <c r="C64">
        <v>75</v>
      </c>
      <c r="D64">
        <v>1</v>
      </c>
      <c r="E64">
        <f>C64*D64</f>
        <v>75</v>
      </c>
      <c r="F64" t="str">
        <v>Shopee: Ballpen</v>
      </c>
      <c r="G64" t="str">
        <v>admin</v>
      </c>
    </row>
    <row r="65">
      <c r="B65">
        <v>46096</v>
      </c>
      <c r="C65">
        <v>120</v>
      </c>
      <c r="D65">
        <v>1</v>
      </c>
      <c r="E65">
        <f>C65*D65</f>
        <v>120</v>
      </c>
      <c r="F65" t="str">
        <v>Joy Sari Sari Store: okra</v>
      </c>
      <c r="G65" t="str">
        <v>breakfast</v>
      </c>
    </row>
    <row r="66">
      <c r="B66">
        <v>46096</v>
      </c>
      <c r="C66">
        <v>40</v>
      </c>
      <c r="D66">
        <v>1</v>
      </c>
      <c r="E66">
        <f>C66*D66</f>
        <v>40</v>
      </c>
      <c r="F66" t="str">
        <v>Joy Sari Sari Store: Kamatis</v>
      </c>
      <c r="G66" t="str">
        <v>breakfast</v>
      </c>
    </row>
    <row r="67">
      <c r="B67">
        <v>46096</v>
      </c>
      <c r="C67">
        <v>320</v>
      </c>
      <c r="D67">
        <v>1</v>
      </c>
      <c r="E67">
        <f>C67*D67</f>
        <v>320</v>
      </c>
      <c r="F67" t="str">
        <v>Joy Sari Sari Store: Lakatan</v>
      </c>
      <c r="G67" t="str">
        <v>breakfast</v>
      </c>
      <c r="H67" t="str">
        <v xml:space="preserve">     </v>
      </c>
    </row>
    <row r="68">
      <c r="B68">
        <v>46096</v>
      </c>
      <c r="C68">
        <v>650</v>
      </c>
      <c r="D68">
        <v>1</v>
      </c>
      <c r="E68">
        <f>C68*D68</f>
        <v>650</v>
      </c>
      <c r="F68" t="str">
        <v>Joy Sari Sari Store: Chicken</v>
      </c>
      <c r="G68" t="str">
        <v>staff meals</v>
      </c>
    </row>
    <row r="69">
      <c r="B69">
        <v>46096</v>
      </c>
      <c r="C69">
        <v>34</v>
      </c>
      <c r="D69">
        <v>1</v>
      </c>
      <c r="E69">
        <f>C69*D69</f>
        <v>34</v>
      </c>
      <c r="F69" t="str">
        <v>Joy Sari Sari Store: Patatas</v>
      </c>
      <c r="G69" t="str">
        <v>staff meals</v>
      </c>
    </row>
    <row r="70">
      <c r="B70">
        <v>46096</v>
      </c>
      <c r="C70">
        <v>12</v>
      </c>
      <c r="D70">
        <v>1</v>
      </c>
      <c r="E70">
        <f>C70*D70</f>
        <v>12</v>
      </c>
      <c r="F70" t="str">
        <v>Joy Sari Sari Store: Magic sarap</v>
      </c>
      <c r="G70" t="str">
        <v>staff meals</v>
      </c>
    </row>
    <row r="71">
      <c r="B71">
        <v>46096</v>
      </c>
      <c r="C71">
        <v>45</v>
      </c>
      <c r="D71">
        <v>22</v>
      </c>
      <c r="E71">
        <f>C71*D71</f>
        <v>990</v>
      </c>
      <c r="F71" t="str">
        <v>Beeperas: Water</v>
      </c>
      <c r="G71" t="str">
        <v>water</v>
      </c>
    </row>
    <row r="72">
      <c r="B72">
        <v>46102</v>
      </c>
      <c r="C72">
        <v>90</v>
      </c>
      <c r="D72">
        <v>1</v>
      </c>
      <c r="E72">
        <f>C72*D72</f>
        <v>90</v>
      </c>
      <c r="F72" t="str">
        <v>Joy Sari Sari Store: Talong</v>
      </c>
      <c r="G72" t="str">
        <v>breakfast</v>
      </c>
    </row>
    <row r="73">
      <c r="B73">
        <v>46102</v>
      </c>
      <c r="C73">
        <v>140</v>
      </c>
      <c r="D73">
        <v>1</v>
      </c>
      <c r="E73">
        <f>C73*D73</f>
        <v>140</v>
      </c>
      <c r="F73" t="str">
        <v>Joy Sari Sari Store: Okra</v>
      </c>
      <c r="G73" t="str">
        <v>breakfast</v>
      </c>
    </row>
    <row r="74">
      <c r="B74">
        <v>46102</v>
      </c>
      <c r="C74">
        <v>185</v>
      </c>
      <c r="D74">
        <v>1</v>
      </c>
      <c r="E74">
        <f>C74*D74</f>
        <v>185</v>
      </c>
      <c r="F74" t="str">
        <v>Joy Sari Sari Store: Lakatan</v>
      </c>
      <c r="G74" t="str">
        <v>breakfast</v>
      </c>
    </row>
    <row r="75">
      <c r="B75">
        <v>46102</v>
      </c>
      <c r="C75">
        <f>524/3</f>
        <v>174.6666667</v>
      </c>
      <c r="D75">
        <v>3</v>
      </c>
      <c r="E75">
        <f>C75*D75</f>
        <v>524</v>
      </c>
      <c r="F75" t="str">
        <v>Joy Sari Sari Store: Bangus</v>
      </c>
      <c r="G75" t="str">
        <v>staff meals</v>
      </c>
    </row>
    <row r="76">
      <c r="B76">
        <v>46102</v>
      </c>
      <c r="C76">
        <v>30</v>
      </c>
      <c r="D76">
        <v>3</v>
      </c>
      <c r="E76">
        <f>C76*D76</f>
        <v>90</v>
      </c>
      <c r="F76" t="str">
        <v>Joy Sari Sari Store: Gulay</v>
      </c>
      <c r="G76" t="str">
        <v>staff meals</v>
      </c>
    </row>
    <row r="77">
      <c r="B77">
        <v>46102</v>
      </c>
      <c r="C77">
        <v>20</v>
      </c>
      <c r="D77">
        <v>1</v>
      </c>
      <c r="E77">
        <f>C77*D77</f>
        <v>20</v>
      </c>
      <c r="F77" t="str">
        <v>Joy Sari Sari Store: Sinigang mix</v>
      </c>
      <c r="G77" t="str">
        <v>staff meals</v>
      </c>
    </row>
    <row r="78">
      <c r="B78">
        <v>46102</v>
      </c>
      <c r="C78">
        <v>6</v>
      </c>
      <c r="D78">
        <v>2</v>
      </c>
      <c r="E78">
        <f>C78*D78</f>
        <v>12</v>
      </c>
      <c r="F78" t="str">
        <v>Joy Sari Sari Store: Magic sarap</v>
      </c>
      <c r="G78" t="str">
        <v>staff meals</v>
      </c>
    </row>
    <row r="79">
      <c r="B79">
        <v>46102</v>
      </c>
      <c r="C79">
        <v>25</v>
      </c>
      <c r="D79">
        <v>1</v>
      </c>
      <c r="E79">
        <f>C79*D79</f>
        <v>25</v>
      </c>
      <c r="F79" t="str">
        <v>Joy Sari Sari Store: Sibuyas</v>
      </c>
      <c r="G79" t="str">
        <v>staff meals</v>
      </c>
    </row>
    <row r="80">
      <c r="B80">
        <v>46103</v>
      </c>
      <c r="C80">
        <v>40</v>
      </c>
      <c r="D80">
        <v>1</v>
      </c>
      <c r="E80">
        <f>C80*D80</f>
        <v>40</v>
      </c>
      <c r="F80" t="str">
        <v>Joy Sari Sari Store: Kamatis</v>
      </c>
      <c r="G80" t="str">
        <v>breakfast</v>
      </c>
    </row>
    <row r="81">
      <c r="B81">
        <v>46103</v>
      </c>
      <c r="C81">
        <v>80</v>
      </c>
      <c r="D81">
        <v>2</v>
      </c>
      <c r="E81">
        <f>C81*D81</f>
        <v>160</v>
      </c>
      <c r="F81" t="str">
        <v>Joy Sari Sari Store: Sitaw</v>
      </c>
      <c r="G81" t="str">
        <v>breakfast</v>
      </c>
    </row>
    <row r="82">
      <c r="B82">
        <v>46103</v>
      </c>
      <c r="C82">
        <v>70</v>
      </c>
      <c r="D82">
        <v>2</v>
      </c>
      <c r="E82">
        <f>C82*D82</f>
        <v>140</v>
      </c>
      <c r="F82" t="str">
        <v>Joy Sari Sari Store: Saba</v>
      </c>
      <c r="G82" t="str">
        <v>breakfast</v>
      </c>
    </row>
    <row r="83">
      <c r="B83">
        <v>46103</v>
      </c>
      <c r="C83">
        <v>805</v>
      </c>
      <c r="D83">
        <v>1</v>
      </c>
      <c r="E83">
        <f>C83*D83</f>
        <v>805</v>
      </c>
      <c r="F83" t="str">
        <v>Charcoal</v>
      </c>
      <c r="G83" t="str">
        <v>kitchen</v>
      </c>
    </row>
    <row r="84">
      <c r="B84">
        <v>46103</v>
      </c>
      <c r="C84">
        <v>100</v>
      </c>
      <c r="D84">
        <v>1</v>
      </c>
      <c r="E84">
        <f>C84*D84</f>
        <v>100</v>
      </c>
      <c r="F84" t="str">
        <v>Shopee:laminating</v>
      </c>
      <c r="G84" t="str">
        <v>admin</v>
      </c>
    </row>
    <row r="85">
      <c r="B85">
        <v>46103</v>
      </c>
      <c r="C85">
        <v>99</v>
      </c>
      <c r="D85">
        <v>1</v>
      </c>
      <c r="E85">
        <f>C85*D85</f>
        <v>99</v>
      </c>
      <c r="F85" t="str">
        <v>Shopee: Wallpaper</v>
      </c>
      <c r="G85" t="str">
        <v>maintenance</v>
      </c>
    </row>
    <row r="86">
      <c r="B86">
        <v>46103</v>
      </c>
      <c r="C86">
        <v>300</v>
      </c>
      <c r="D86">
        <v>1</v>
      </c>
      <c r="E86">
        <f>C86*D86</f>
        <v>300</v>
      </c>
      <c r="F86" t="str">
        <v>Transportation: PNB</v>
      </c>
      <c r="G86" t="str">
        <v>transpo</v>
      </c>
    </row>
    <row r="87">
      <c r="B87">
        <v>46103</v>
      </c>
      <c r="C87">
        <v>600</v>
      </c>
      <c r="D87">
        <v>2</v>
      </c>
      <c r="E87">
        <f>C87*D87</f>
        <v>1200</v>
      </c>
      <c r="F87" t="str">
        <v>Pork</v>
      </c>
      <c r="G87" t="str">
        <v>staff meals</v>
      </c>
    </row>
    <row r="88">
      <c r="B88">
        <v>46104</v>
      </c>
      <c r="C88">
        <v>265</v>
      </c>
      <c r="D88">
        <v>1</v>
      </c>
      <c r="E88">
        <f>C88*D88</f>
        <v>265</v>
      </c>
      <c r="F88" t="str">
        <v>Joy Sari Sari Store: Lakatan</v>
      </c>
      <c r="G88" t="str">
        <v>breakfast</v>
      </c>
    </row>
    <row r="89">
      <c r="B89">
        <v>46108</v>
      </c>
      <c r="C89">
        <v>32</v>
      </c>
      <c r="D89">
        <v>1</v>
      </c>
      <c r="E89">
        <f>C89*D89</f>
        <v>32</v>
      </c>
      <c r="F89" t="str">
        <v>Joy Sari Sari Store: Ufc</v>
      </c>
      <c r="G89" t="str">
        <v>breakfast</v>
      </c>
    </row>
    <row r="90">
      <c r="B90">
        <v>46108</v>
      </c>
      <c r="C90">
        <v>75</v>
      </c>
      <c r="D90">
        <v>1</v>
      </c>
      <c r="E90">
        <f>C90*D90</f>
        <v>75</v>
      </c>
      <c r="F90" t="str">
        <v>Joy Sari Sari Store: Talong</v>
      </c>
      <c r="G90" t="str">
        <v>breakfast</v>
      </c>
    </row>
    <row r="91">
      <c r="B91">
        <v>46108</v>
      </c>
      <c r="C91">
        <v>135</v>
      </c>
      <c r="D91">
        <v>1</v>
      </c>
      <c r="E91">
        <f>C91*D91</f>
        <v>135</v>
      </c>
      <c r="F91" t="str">
        <v>Joy Sari Sari Store: Okra</v>
      </c>
      <c r="G91" t="str">
        <v>breakfast</v>
      </c>
    </row>
    <row r="92">
      <c r="B92">
        <v>46108</v>
      </c>
      <c r="C92">
        <v>175</v>
      </c>
      <c r="D92">
        <v>1</v>
      </c>
      <c r="E92">
        <f>C92*D92</f>
        <v>175</v>
      </c>
      <c r="F92" t="str">
        <v>Joy Sari Sari Store: Lakatan</v>
      </c>
      <c r="G92" t="str">
        <v>breakfast</v>
      </c>
    </row>
    <row r="93">
      <c r="B93">
        <v>46108</v>
      </c>
      <c r="C93">
        <v>55</v>
      </c>
      <c r="D93">
        <v>1</v>
      </c>
      <c r="E93">
        <f>C93*D93</f>
        <v>55</v>
      </c>
      <c r="F93" t="str">
        <v>Joy Sari Sari Store: Kamatis</v>
      </c>
      <c r="G93" t="str">
        <v>breakfast</v>
      </c>
    </row>
    <row r="94">
      <c r="B94">
        <v>46108</v>
      </c>
      <c r="C94">
        <f>650/2</f>
        <v>325</v>
      </c>
      <c r="D94">
        <v>2</v>
      </c>
      <c r="E94">
        <f>C94*D94</f>
        <v>650</v>
      </c>
      <c r="F94" t="str">
        <v>Joy Sari Sari Store:Chicken</v>
      </c>
      <c r="G94" t="str">
        <v>staff meals</v>
      </c>
    </row>
    <row r="95">
      <c r="B95">
        <v>46109</v>
      </c>
      <c r="C95">
        <f>534/3</f>
        <v>178</v>
      </c>
      <c r="D95">
        <v>3</v>
      </c>
      <c r="E95">
        <f>C95*D95</f>
        <v>534</v>
      </c>
      <c r="F95" t="str">
        <v>Joy Sari Sari Store:Bangus</v>
      </c>
      <c r="G95" t="str">
        <v>staff meals</v>
      </c>
      <c r="Z95" t="str">
        <v xml:space="preserve">     </v>
      </c>
    </row>
    <row r="96">
      <c r="B96">
        <v>46109</v>
      </c>
      <c r="C96">
        <v>10</v>
      </c>
      <c r="D96">
        <v>4</v>
      </c>
      <c r="E96">
        <f>C96*D96</f>
        <v>40</v>
      </c>
      <c r="F96" t="str">
        <v>Joy Sari Sari Store:kalamansi</v>
      </c>
      <c r="G96" t="str">
        <v>staff meals</v>
      </c>
    </row>
    <row r="97">
      <c r="B97">
        <v>46109</v>
      </c>
      <c r="C97">
        <v>29</v>
      </c>
      <c r="D97">
        <v>1</v>
      </c>
      <c r="E97">
        <f>C97*D97</f>
        <v>29</v>
      </c>
      <c r="F97" t="str">
        <v>Joy Sari Sari Store:Sibuyas</v>
      </c>
      <c r="G97" t="str">
        <v>staff meals</v>
      </c>
    </row>
    <row r="98">
      <c r="B98">
        <v>46109</v>
      </c>
      <c r="C98">
        <v>12</v>
      </c>
      <c r="D98">
        <v>1</v>
      </c>
      <c r="E98">
        <f>C98*D98</f>
        <v>12</v>
      </c>
      <c r="F98" t="str">
        <v>Joy Sari Sari Store:magic</v>
      </c>
      <c r="G98" t="str">
        <v>staff meals</v>
      </c>
    </row>
    <row r="99">
      <c r="B99">
        <v>46109</v>
      </c>
      <c r="C99">
        <v>14</v>
      </c>
      <c r="D99">
        <v>1</v>
      </c>
      <c r="E99">
        <f>C99*D99</f>
        <v>14</v>
      </c>
      <c r="F99" t="str">
        <v>Joy Sari Sari Store:Bawang</v>
      </c>
      <c r="G99" t="str">
        <v>staff meals</v>
      </c>
    </row>
    <row r="100">
      <c r="B100">
        <v>46109</v>
      </c>
      <c r="C100">
        <v>220</v>
      </c>
      <c r="D100">
        <v>5</v>
      </c>
      <c r="E100">
        <f>C100*D100</f>
        <v>1100</v>
      </c>
      <c r="F100" t="str">
        <v>Irene Medina: Egg</v>
      </c>
      <c r="G100" t="str">
        <v>breakfast</v>
      </c>
      <c r="H100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">
      <c r="B101">
        <v>46109</v>
      </c>
      <c r="C101">
        <v>800</v>
      </c>
      <c r="D101">
        <v>1</v>
      </c>
      <c r="E101">
        <f>C101*D101</f>
        <v>800</v>
      </c>
      <c r="F101" t="str">
        <v>Pork</v>
      </c>
      <c r="G101" t="str">
        <v>staff meals</v>
      </c>
    </row>
    <row r="102">
      <c r="B102">
        <v>46109</v>
      </c>
      <c r="C102">
        <v>76</v>
      </c>
      <c r="D102">
        <v>6</v>
      </c>
      <c r="E102">
        <f>C102*D102</f>
        <v>456</v>
      </c>
      <c r="F102" t="str">
        <v>Puregold: Eq premium</v>
      </c>
      <c r="G102" t="str">
        <v>coffee</v>
      </c>
    </row>
    <row r="103">
      <c r="B103">
        <v>46109</v>
      </c>
      <c r="C103">
        <v>118.25</v>
      </c>
      <c r="D103">
        <v>8</v>
      </c>
      <c r="E103">
        <f>C103*D103</f>
        <v>946</v>
      </c>
      <c r="F103" t="str">
        <v>Puregold:Coffeemate</v>
      </c>
      <c r="G103" t="str">
        <v>coffee</v>
      </c>
    </row>
    <row r="104">
      <c r="B104">
        <v>46109</v>
      </c>
      <c r="C104">
        <v>71.75</v>
      </c>
      <c r="D104">
        <v>2</v>
      </c>
      <c r="E104">
        <f>C104*D104</f>
        <v>143.5</v>
      </c>
      <c r="F104" t="str">
        <v>Puregold: Patis</v>
      </c>
      <c r="G104" t="str">
        <v>breakfast</v>
      </c>
    </row>
    <row r="105">
      <c r="B105">
        <v>46109</v>
      </c>
      <c r="C105">
        <v>198</v>
      </c>
      <c r="D105">
        <v>2</v>
      </c>
      <c r="E105">
        <f>C105*D105</f>
        <v>396</v>
      </c>
      <c r="F105" t="str">
        <v>Puregold:Tender juicy hotdog</v>
      </c>
      <c r="G105" t="str">
        <v>breakfast</v>
      </c>
    </row>
    <row r="106">
      <c r="B106">
        <v>46109</v>
      </c>
      <c r="C106">
        <v>92</v>
      </c>
      <c r="D106">
        <v>3</v>
      </c>
      <c r="E106">
        <f>C106*D106</f>
        <v>276</v>
      </c>
      <c r="F106" t="str">
        <v>Puregold:Magnolia butter</v>
      </c>
      <c r="G106" t="str">
        <v>breakfast</v>
      </c>
    </row>
    <row r="107">
      <c r="B107">
        <v>46109</v>
      </c>
      <c r="C107">
        <v>161.9</v>
      </c>
      <c r="D107">
        <v>3</v>
      </c>
      <c r="E107">
        <f>C107*D107</f>
        <v>485.7</v>
      </c>
      <c r="F107" t="str">
        <v>Puregold:Selecta milk</v>
      </c>
      <c r="G107" t="str">
        <v>breakfast</v>
      </c>
    </row>
    <row r="108">
      <c r="B108">
        <v>46109</v>
      </c>
      <c r="C108">
        <v>26</v>
      </c>
      <c r="D108">
        <v>4</v>
      </c>
      <c r="E108">
        <f>C108*D108</f>
        <v>104</v>
      </c>
      <c r="F108" t="str">
        <v>Puregold:UFC</v>
      </c>
      <c r="G108" t="str">
        <v>breakfast</v>
      </c>
    </row>
    <row r="109">
      <c r="B109">
        <v>46109</v>
      </c>
      <c r="C109">
        <v>41.6</v>
      </c>
      <c r="D109">
        <v>1</v>
      </c>
      <c r="E109">
        <f>C109*D109</f>
        <v>41.6</v>
      </c>
      <c r="F109" t="str">
        <v>Puregold:UFC CHILI</v>
      </c>
      <c r="G109" t="str">
        <v>breakfast</v>
      </c>
    </row>
    <row r="110">
      <c r="B110">
        <v>46109</v>
      </c>
      <c r="C110">
        <v>487</v>
      </c>
      <c r="D110">
        <v>1</v>
      </c>
      <c r="E110">
        <f>C110*D110</f>
        <v>487</v>
      </c>
      <c r="F110" t="str">
        <v>Puregold:lIPTON</v>
      </c>
      <c r="G110" t="str">
        <v>breakfast</v>
      </c>
    </row>
    <row r="111">
      <c r="B111">
        <v>46109</v>
      </c>
      <c r="C111">
        <v>190</v>
      </c>
      <c r="D111">
        <v>3</v>
      </c>
      <c r="E111">
        <f>C111*D111</f>
        <v>570</v>
      </c>
      <c r="F111" t="str">
        <v xml:space="preserve">Puregold:Milo </v>
      </c>
      <c r="G111" t="str">
        <v>breakfast</v>
      </c>
    </row>
    <row r="112">
      <c r="B112">
        <v>46109</v>
      </c>
      <c r="C112">
        <v>36.95</v>
      </c>
      <c r="D112">
        <v>3</v>
      </c>
      <c r="E112">
        <f>C112*D112</f>
        <v>110.85</v>
      </c>
      <c r="F112" t="str">
        <v xml:space="preserve"> Puregold: HMC</v>
      </c>
      <c r="G112" t="str">
        <v>breakfast</v>
      </c>
    </row>
    <row r="113">
      <c r="B113">
        <v>46109</v>
      </c>
      <c r="C113">
        <v>36.95</v>
      </c>
      <c r="D113">
        <v>1</v>
      </c>
      <c r="E113">
        <f>C113*D113</f>
        <v>36.95</v>
      </c>
      <c r="F113" t="str">
        <v>Puregold:Pancake</v>
      </c>
      <c r="G113" t="str">
        <v>breakfast</v>
      </c>
    </row>
    <row r="114">
      <c r="B114">
        <v>46109</v>
      </c>
      <c r="C114">
        <v>29.25</v>
      </c>
      <c r="D114">
        <v>1</v>
      </c>
      <c r="E114">
        <f>C114*D114</f>
        <v>29.25</v>
      </c>
      <c r="F114" t="str">
        <v>Puregold:Pancake</v>
      </c>
      <c r="G114" t="str">
        <v>breakfast</v>
      </c>
    </row>
    <row r="115">
      <c r="B115">
        <v>46109</v>
      </c>
      <c r="C115">
        <v>206</v>
      </c>
      <c r="D115">
        <v>1</v>
      </c>
      <c r="E115">
        <f>C115*D115</f>
        <v>206</v>
      </c>
      <c r="F115" t="str">
        <v>Puregold:All purpose</v>
      </c>
      <c r="G115" t="str">
        <v>breakfast</v>
      </c>
    </row>
    <row r="116">
      <c r="B116">
        <v>46109</v>
      </c>
      <c r="C116">
        <v>425.25</v>
      </c>
      <c r="D116">
        <v>1</v>
      </c>
      <c r="E116">
        <f>C116*D116</f>
        <v>425.25</v>
      </c>
      <c r="F116" t="str">
        <v>Puregold:Mayonaise</v>
      </c>
      <c r="G116" t="str">
        <v>breakfast</v>
      </c>
    </row>
    <row r="117">
      <c r="B117">
        <v>46109</v>
      </c>
      <c r="C117">
        <v>148.25</v>
      </c>
      <c r="D117">
        <v>1</v>
      </c>
      <c r="E117">
        <f>C117*D117</f>
        <v>148.25</v>
      </c>
      <c r="F117" t="str">
        <v>Puregold:Vinegar</v>
      </c>
      <c r="G117" t="str">
        <v>breakfast</v>
      </c>
    </row>
    <row r="118">
      <c r="B118">
        <v>46109</v>
      </c>
      <c r="C118">
        <v>61.5</v>
      </c>
      <c r="D118">
        <v>4</v>
      </c>
      <c r="E118">
        <f>C118*D118</f>
        <v>246</v>
      </c>
      <c r="F118" t="str">
        <v>Puregold:Pancake mini</v>
      </c>
      <c r="G118" t="str">
        <v>breakfast</v>
      </c>
    </row>
    <row r="119">
      <c r="B119">
        <v>46109</v>
      </c>
      <c r="C119">
        <v>23</v>
      </c>
      <c r="D119">
        <v>5</v>
      </c>
      <c r="E119">
        <f>C119*D119</f>
        <v>115</v>
      </c>
      <c r="F119" t="str">
        <v>Puregold:Pancake mini</v>
      </c>
      <c r="G119" t="str">
        <v>breakfast</v>
      </c>
    </row>
    <row r="120">
      <c r="B120">
        <v>46109</v>
      </c>
      <c r="C120">
        <v>144.25</v>
      </c>
      <c r="D120">
        <v>3</v>
      </c>
      <c r="E120">
        <f>C120*D120</f>
        <v>432.75</v>
      </c>
      <c r="F120" t="str">
        <v>Puregold:Zonrox orig</v>
      </c>
      <c r="G120" t="str">
        <v>laundry</v>
      </c>
    </row>
    <row r="121">
      <c r="B121">
        <v>46109</v>
      </c>
      <c r="C121">
        <v>199</v>
      </c>
      <c r="D121">
        <v>6</v>
      </c>
      <c r="E121">
        <f>C121*D121</f>
        <v>1194</v>
      </c>
      <c r="F121" t="str">
        <v>Puregold:Calla powder</v>
      </c>
      <c r="G121" t="str">
        <v>laundry</v>
      </c>
    </row>
    <row r="122">
      <c r="B122">
        <v>46109</v>
      </c>
      <c r="C122">
        <v>199</v>
      </c>
      <c r="D122">
        <v>1</v>
      </c>
      <c r="E122">
        <f>C122*D122</f>
        <v>199</v>
      </c>
      <c r="F122" t="str">
        <v>Puregold:Calla powder</v>
      </c>
      <c r="G122" t="str">
        <v>laundry</v>
      </c>
    </row>
    <row r="123">
      <c r="B123">
        <v>46109</v>
      </c>
      <c r="C123">
        <v>40</v>
      </c>
      <c r="D123">
        <v>2</v>
      </c>
      <c r="E123">
        <f>C123*D123</f>
        <v>80</v>
      </c>
      <c r="F123" t="str">
        <v>Puregold:Food bag</v>
      </c>
      <c r="G123" t="str">
        <v>breakfast</v>
      </c>
    </row>
    <row r="124">
      <c r="B124">
        <v>46109</v>
      </c>
      <c r="C124">
        <v>31.5</v>
      </c>
      <c r="D124">
        <v>3</v>
      </c>
      <c r="E124">
        <f>C124*D124</f>
        <v>94.5</v>
      </c>
      <c r="F124" t="str">
        <v>Puregold:Ice bag</v>
      </c>
      <c r="G124" t="str">
        <v>breakfast</v>
      </c>
    </row>
    <row r="125">
      <c r="B125">
        <v>46109</v>
      </c>
      <c r="C125">
        <v>45</v>
      </c>
      <c r="D125">
        <v>2</v>
      </c>
      <c r="E125">
        <f>C125*D125</f>
        <v>90</v>
      </c>
      <c r="F125" t="str">
        <v>Puregold:Cheese</v>
      </c>
      <c r="G125" t="str">
        <v>breakfast</v>
      </c>
    </row>
    <row r="126">
      <c r="B126">
        <v>46109</v>
      </c>
      <c r="C126">
        <v>2320</v>
      </c>
      <c r="D126">
        <v>1</v>
      </c>
      <c r="E126">
        <f>C126*D126</f>
        <v>2320</v>
      </c>
      <c r="F126" t="str">
        <v>Palengke: Tinapa</v>
      </c>
      <c r="G126" t="str">
        <v>breakfast</v>
      </c>
    </row>
    <row r="127">
      <c r="B127">
        <v>46109</v>
      </c>
      <c r="C127">
        <v>1465</v>
      </c>
      <c r="D127">
        <v>1</v>
      </c>
      <c r="E127">
        <f>C127*D127</f>
        <v>1465</v>
      </c>
      <c r="F127" t="str">
        <v>Palengke: Vegetables</v>
      </c>
      <c r="G127" t="str">
        <v>breakfast</v>
      </c>
    </row>
    <row r="128">
      <c r="B128">
        <v>46109</v>
      </c>
      <c r="C128">
        <v>1470</v>
      </c>
      <c r="D128">
        <v>3</v>
      </c>
      <c r="E128">
        <f>C128*D128</f>
        <v>4410</v>
      </c>
      <c r="F128" t="str">
        <v>Palengke: MJC4 RICE STORE</v>
      </c>
      <c r="G128" t="str">
        <v>breakfast</v>
      </c>
    </row>
    <row r="129">
      <c r="B129">
        <v>46109</v>
      </c>
      <c r="C129">
        <v>600</v>
      </c>
      <c r="D129">
        <v>1</v>
      </c>
      <c r="E129">
        <f>C129*D129</f>
        <v>600</v>
      </c>
      <c r="F129" t="str">
        <v>Palengke: Pakwan</v>
      </c>
      <c r="G129" t="str">
        <v>breakfast</v>
      </c>
    </row>
    <row r="130">
      <c r="B130">
        <v>46109</v>
      </c>
      <c r="C130">
        <v>1500</v>
      </c>
      <c r="D130">
        <v>1</v>
      </c>
      <c r="E130">
        <f>C130*D130</f>
        <v>1500</v>
      </c>
      <c r="F130" t="str">
        <v>Palengke</v>
      </c>
      <c r="G130" t="str">
        <v>breakfast</v>
      </c>
    </row>
    <row r="131">
      <c r="B131">
        <v>46109</v>
      </c>
      <c r="C131">
        <v>1123</v>
      </c>
      <c r="D131">
        <v>1</v>
      </c>
      <c r="E131">
        <f>C131*D131</f>
        <v>1123</v>
      </c>
      <c r="F131" t="str">
        <v>Palengke</v>
      </c>
      <c r="G131" t="str">
        <v>lunch/dinner</v>
      </c>
    </row>
    <row r="132">
      <c r="B132">
        <v>46112</v>
      </c>
      <c r="C132">
        <v>585</v>
      </c>
      <c r="D132">
        <v>1</v>
      </c>
      <c r="E132">
        <f>C132*D132</f>
        <v>585</v>
      </c>
      <c r="F132" t="str">
        <v>Joy Sari Sari Store:Chicken</v>
      </c>
      <c r="G132" t="str">
        <v>staff meals</v>
      </c>
    </row>
    <row r="133">
      <c r="B133">
        <v>46112</v>
      </c>
      <c r="C133">
        <v>72</v>
      </c>
      <c r="D133">
        <v>1</v>
      </c>
      <c r="E133">
        <f>C133*D133</f>
        <v>72</v>
      </c>
      <c r="F133" t="str">
        <v>Joy Sari Sari Store:Patatas</v>
      </c>
      <c r="G133" t="str">
        <v>staff meals</v>
      </c>
    </row>
    <row r="134">
      <c r="B134">
        <v>46112</v>
      </c>
      <c r="C134">
        <v>15</v>
      </c>
      <c r="D134">
        <v>1</v>
      </c>
      <c r="E134">
        <f>C134*D134</f>
        <v>15</v>
      </c>
      <c r="F134" t="str">
        <v>Joy Sari Sari Store:Sibuyas</v>
      </c>
      <c r="G134" t="str">
        <v>staff meals</v>
      </c>
    </row>
    <row r="135">
      <c r="B135">
        <v>46112</v>
      </c>
      <c r="C135">
        <v>15</v>
      </c>
      <c r="D135">
        <v>1</v>
      </c>
      <c r="E135">
        <f>C135*D135</f>
        <v>15</v>
      </c>
      <c r="F135" t="str">
        <v>Joy Sari Sari Store:Bawang</v>
      </c>
      <c r="G135" t="str">
        <v>staff meals</v>
      </c>
    </row>
    <row r="136">
      <c r="B136">
        <v>46112</v>
      </c>
      <c r="C136">
        <v>10</v>
      </c>
      <c r="D136">
        <v>1</v>
      </c>
      <c r="E136">
        <f>C136*D136</f>
        <v>10</v>
      </c>
      <c r="F136" t="str">
        <v>Joy Sari Sari Store:magic</v>
      </c>
      <c r="G136" t="str">
        <v>staff meals</v>
      </c>
    </row>
    <row r="137">
      <c r="B137">
        <v>46112</v>
      </c>
      <c r="C137">
        <v>207</v>
      </c>
      <c r="D137">
        <v>1</v>
      </c>
      <c r="E137">
        <f>C137*D137</f>
        <v>207</v>
      </c>
      <c r="F137" t="str">
        <v>Joy Sari Sari Store:Mango</v>
      </c>
      <c r="G137" t="str">
        <v>breakfast</v>
      </c>
    </row>
    <row r="138">
      <c r="B138">
        <v>46112</v>
      </c>
      <c r="C138">
        <v>140</v>
      </c>
      <c r="D138">
        <v>1</v>
      </c>
      <c r="E138">
        <f>C138*D138</f>
        <v>140</v>
      </c>
      <c r="F138" t="str">
        <v>Joy Sari Sari Store: Okra</v>
      </c>
      <c r="G138" t="str">
        <v>breakfast</v>
      </c>
    </row>
    <row r="139">
      <c r="B139">
        <v>46112</v>
      </c>
      <c r="C139">
        <v>70</v>
      </c>
      <c r="D139">
        <v>1</v>
      </c>
      <c r="E139">
        <f>C139*D139</f>
        <v>70</v>
      </c>
      <c r="F139" t="str">
        <v>Joy Sari Sari Store:Talong</v>
      </c>
      <c r="G139" t="str">
        <v>breakfast</v>
      </c>
    </row>
    <row r="140">
      <c r="B140">
        <v>46112</v>
      </c>
      <c r="C140">
        <v>45</v>
      </c>
      <c r="D140">
        <v>22</v>
      </c>
      <c r="E140">
        <f>C140*D140</f>
        <v>990</v>
      </c>
      <c r="F140" t="str">
        <v>Beeperas: Water</v>
      </c>
      <c r="G140" t="str">
        <v>water</v>
      </c>
    </row>
    <row r="141">
      <c r="B141">
        <v>46112</v>
      </c>
      <c r="C141">
        <v>3800</v>
      </c>
      <c r="D141">
        <v>1</v>
      </c>
      <c r="E141">
        <f>C141*D141</f>
        <v>3800</v>
      </c>
      <c r="F141" t="str">
        <v>Starlink</v>
      </c>
      <c r="G141" t="str">
        <v>internet</v>
      </c>
    </row>
    <row r="142">
      <c r="B142">
        <v>46112</v>
      </c>
      <c r="C142">
        <v>34630.58</v>
      </c>
      <c r="D142">
        <v>1</v>
      </c>
      <c r="E142">
        <f>C142*D142</f>
        <v>34630.58</v>
      </c>
      <c r="F142" t="str">
        <v>PENELCO</v>
      </c>
      <c r="G142" t="str">
        <v>electricity</v>
      </c>
    </row>
    <row r="143">
      <c r="B143">
        <v>46112</v>
      </c>
      <c r="C143">
        <v>20</v>
      </c>
      <c r="D143">
        <v>106</v>
      </c>
      <c r="E143">
        <f>C143*D143</f>
        <v>2120</v>
      </c>
      <c r="F143" t="str">
        <v>Environmental Fee</v>
      </c>
      <c r="G143" t="str">
        <v>Compliance</v>
      </c>
    </row>
    <row r="157">
      <c r="E157">
        <f>C157*D157</f>
        <v>0</v>
      </c>
    </row>
    <row r="158">
      <c r="E158">
        <f>C158*D158</f>
        <v>0</v>
      </c>
    </row>
    <row r="159">
      <c r="E159">
        <f>C159*D159</f>
        <v>0</v>
      </c>
    </row>
    <row r="160">
      <c r="E160">
        <f>C160*D160</f>
        <v>0</v>
      </c>
    </row>
    <row r="161">
      <c r="E161">
        <f>C161*D161</f>
        <v>0</v>
      </c>
    </row>
    <row r="162">
      <c r="E162">
        <f>C162*D162</f>
        <v>0</v>
      </c>
    </row>
    <row r="163">
      <c r="E163">
        <f>C163*D163</f>
        <v>0</v>
      </c>
    </row>
    <row r="164">
      <c r="E164">
        <f>C164*D164</f>
        <v>0</v>
      </c>
    </row>
    <row r="165">
      <c r="E165">
        <f>C165*D165</f>
        <v>0</v>
      </c>
    </row>
    <row r="166">
      <c r="E166">
        <f>C166*D166</f>
        <v>0</v>
      </c>
    </row>
    <row r="167">
      <c r="E167">
        <f>C167*D167</f>
        <v>0</v>
      </c>
    </row>
    <row r="168">
      <c r="E168">
        <f>C168*D168</f>
        <v>0</v>
      </c>
    </row>
    <row r="169">
      <c r="E169">
        <f>C169*D169</f>
        <v>0</v>
      </c>
    </row>
    <row r="170">
      <c r="E170">
        <f>C170*D170</f>
        <v>0</v>
      </c>
    </row>
    <row r="171">
      <c r="E171">
        <f>C171*D171</f>
        <v>0</v>
      </c>
    </row>
    <row r="172">
      <c r="E172">
        <f>C172*D172</f>
        <v>0</v>
      </c>
    </row>
    <row r="173">
      <c r="E173">
        <f>C173*D173</f>
        <v>0</v>
      </c>
    </row>
    <row r="174">
      <c r="E174">
        <f>C174*D174</f>
        <v>0</v>
      </c>
    </row>
    <row r="175">
      <c r="E175">
        <f>C175*D175</f>
        <v>0</v>
      </c>
    </row>
    <row r="176">
      <c r="E176">
        <f>C176*D176</f>
        <v>0</v>
      </c>
    </row>
    <row r="177">
      <c r="E177">
        <f>C177*D177</f>
        <v>0</v>
      </c>
    </row>
    <row r="178">
      <c r="E178">
        <f>C178*D178</f>
        <v>0</v>
      </c>
    </row>
    <row r="179">
      <c r="E179">
        <f>C179*D179</f>
        <v>0</v>
      </c>
    </row>
    <row r="180">
      <c r="E180">
        <f>C180*D180</f>
        <v>0</v>
      </c>
    </row>
    <row r="181">
      <c r="E181">
        <f>C181*D181</f>
        <v>0</v>
      </c>
    </row>
    <row r="182">
      <c r="E182">
        <f>C182*D182</f>
        <v>0</v>
      </c>
    </row>
    <row r="183">
      <c r="E183">
        <f>C183*D183</f>
        <v>0</v>
      </c>
    </row>
    <row r="184">
      <c r="E184">
        <f>C184*D184</f>
        <v>0</v>
      </c>
    </row>
    <row r="185">
      <c r="E185">
        <f>C185*D185</f>
        <v>0</v>
      </c>
    </row>
    <row r="186">
      <c r="E186">
        <f>C186*D186</f>
        <v>0</v>
      </c>
    </row>
    <row r="187">
      <c r="E187">
        <f>C187*D187</f>
        <v>0</v>
      </c>
    </row>
    <row r="188">
      <c r="E188">
        <f>C188*D188</f>
        <v>0</v>
      </c>
    </row>
    <row r="189">
      <c r="E189">
        <f>C189*D189</f>
        <v>0</v>
      </c>
    </row>
    <row r="190">
      <c r="E190">
        <f>C190*D190</f>
        <v>0</v>
      </c>
    </row>
    <row r="191">
      <c r="E191">
        <f>C191*D191</f>
        <v>0</v>
      </c>
    </row>
    <row r="192">
      <c r="E192">
        <f>C192*D192</f>
        <v>0</v>
      </c>
    </row>
    <row r="193">
      <c r="E193">
        <f>C193*D193</f>
        <v>0</v>
      </c>
    </row>
    <row r="194">
      <c r="E194">
        <f>C194*D194</f>
        <v>0</v>
      </c>
    </row>
    <row r="195">
      <c r="E195">
        <f>C195*D195</f>
        <v>0</v>
      </c>
    </row>
    <row r="196">
      <c r="E196">
        <f>C196*D196</f>
        <v>0</v>
      </c>
    </row>
    <row r="197">
      <c r="E197">
        <f>C197*D197</f>
        <v>0</v>
      </c>
    </row>
    <row r="198">
      <c r="E198">
        <f>C198*D198</f>
        <v>0</v>
      </c>
    </row>
    <row r="199">
      <c r="E199">
        <f>C199*D199</f>
        <v>0</v>
      </c>
    </row>
    <row r="200">
      <c r="E200">
        <f>C200*D200</f>
        <v>0</v>
      </c>
    </row>
    <row r="201">
      <c r="E201">
        <f>C201*D201</f>
        <v>0</v>
      </c>
    </row>
    <row r="202">
      <c r="E202">
        <f>C202*D202</f>
        <v>0</v>
      </c>
    </row>
    <row r="203">
      <c r="E203">
        <f>C203*D203</f>
        <v>0</v>
      </c>
    </row>
    <row r="204">
      <c r="E204">
        <f>C204*D204</f>
        <v>0</v>
      </c>
    </row>
    <row r="205">
      <c r="E205">
        <f>C205*D205</f>
        <v>0</v>
      </c>
    </row>
    <row r="206">
      <c r="E206">
        <f>C206*D206</f>
        <v>0</v>
      </c>
    </row>
    <row r="207">
      <c r="E207">
        <f>C207*D207</f>
        <v>0</v>
      </c>
    </row>
    <row r="208">
      <c r="E208">
        <f>C208*D208</f>
        <v>0</v>
      </c>
    </row>
    <row r="209">
      <c r="E209">
        <f>C209*D209</f>
        <v>0</v>
      </c>
    </row>
    <row r="210">
      <c r="E210">
        <f>C210*D210</f>
        <v>0</v>
      </c>
    </row>
    <row r="211">
      <c r="E211">
        <f>C211*D211</f>
        <v>0</v>
      </c>
    </row>
    <row r="212">
      <c r="E212">
        <f>C212*D212</f>
        <v>0</v>
      </c>
    </row>
    <row r="213">
      <c r="E213">
        <f>C213*D213</f>
        <v>0</v>
      </c>
    </row>
    <row r="214">
      <c r="E214">
        <f>C214*D214</f>
        <v>0</v>
      </c>
    </row>
    <row r="215">
      <c r="E215">
        <f>C215*D215</f>
        <v>0</v>
      </c>
    </row>
    <row r="216">
      <c r="E216">
        <f>C216*D216</f>
        <v>0</v>
      </c>
    </row>
    <row r="217">
      <c r="E217">
        <f>C217*D217</f>
        <v>0</v>
      </c>
    </row>
    <row r="218">
      <c r="E218">
        <f>C218*D218</f>
        <v>0</v>
      </c>
    </row>
    <row r="219">
      <c r="E219">
        <f>C219*D219</f>
        <v>0</v>
      </c>
    </row>
    <row r="220">
      <c r="E220">
        <f>C220*D220</f>
        <v>0</v>
      </c>
    </row>
    <row r="221">
      <c r="E221">
        <f>C221*D221</f>
        <v>0</v>
      </c>
    </row>
    <row r="222">
      <c r="E222">
        <f>C222*D222</f>
        <v>0</v>
      </c>
    </row>
    <row r="223">
      <c r="E223">
        <f>C223*D223</f>
        <v>0</v>
      </c>
    </row>
    <row r="224">
      <c r="E224">
        <f>C224*D224</f>
        <v>0</v>
      </c>
    </row>
    <row r="225">
      <c r="E225">
        <f>C225*D225</f>
        <v>0</v>
      </c>
    </row>
    <row r="226">
      <c r="E226">
        <f>C226*D226</f>
        <v>0</v>
      </c>
    </row>
    <row r="227">
      <c r="E227">
        <f>C227*D227</f>
        <v>0</v>
      </c>
    </row>
    <row r="228">
      <c r="E228">
        <f>C228*D228</f>
        <v>0</v>
      </c>
    </row>
    <row r="229">
      <c r="E229">
        <f>C229*D229</f>
        <v>0</v>
      </c>
    </row>
    <row r="230">
      <c r="E230">
        <f>C230*D230</f>
        <v>0</v>
      </c>
    </row>
    <row r="231">
      <c r="E231">
        <f>C231*D231</f>
        <v>0</v>
      </c>
    </row>
    <row r="232">
      <c r="E232">
        <f>C232*D232</f>
        <v>0</v>
      </c>
    </row>
    <row r="233">
      <c r="E233">
        <f>C233*D233</f>
        <v>0</v>
      </c>
    </row>
    <row r="234">
      <c r="E234">
        <f>C234*D234</f>
        <v>0</v>
      </c>
    </row>
    <row r="235">
      <c r="E235">
        <f>C235*D235</f>
        <v>0</v>
      </c>
    </row>
    <row r="236">
      <c r="E236">
        <f>C236*D236</f>
        <v>0</v>
      </c>
    </row>
    <row r="237">
      <c r="E237">
        <f>C237*D237</f>
        <v>0</v>
      </c>
    </row>
    <row r="238">
      <c r="E238">
        <f>C238*D238</f>
        <v>0</v>
      </c>
    </row>
    <row r="239">
      <c r="E239">
        <f>C239*D239</f>
        <v>0</v>
      </c>
    </row>
    <row r="240">
      <c r="E240">
        <f>C240*D240</f>
        <v>0</v>
      </c>
    </row>
    <row r="241">
      <c r="E241">
        <f>C241*D241</f>
        <v>0</v>
      </c>
    </row>
    <row r="242">
      <c r="E242">
        <f>C242*D242</f>
        <v>0</v>
      </c>
    </row>
    <row r="243">
      <c r="E243">
        <f>C243*D243</f>
        <v>0</v>
      </c>
    </row>
    <row r="244">
      <c r="E244">
        <f>C244*D244</f>
        <v>0</v>
      </c>
    </row>
    <row r="245">
      <c r="E245">
        <f>C245*D245</f>
        <v>0</v>
      </c>
    </row>
    <row r="246">
      <c r="E246">
        <f>C246*D246</f>
        <v>0</v>
      </c>
    </row>
    <row r="247">
      <c r="E247">
        <f>C247*D247</f>
        <v>0</v>
      </c>
    </row>
    <row r="248">
      <c r="E248">
        <f>C248*D248</f>
        <v>0</v>
      </c>
    </row>
    <row r="249">
      <c r="E249">
        <f>C249*D249</f>
        <v>0</v>
      </c>
    </row>
    <row r="250">
      <c r="E250">
        <f>C250*D250</f>
        <v>0</v>
      </c>
    </row>
    <row r="251">
      <c r="E251">
        <f>C251*D251</f>
        <v>0</v>
      </c>
    </row>
    <row r="252">
      <c r="E252">
        <f>C252*D252</f>
        <v>0</v>
      </c>
    </row>
    <row r="253">
      <c r="E253">
        <f>C253*D253</f>
        <v>0</v>
      </c>
    </row>
    <row r="254">
      <c r="E254">
        <f>C254*D254</f>
        <v>0</v>
      </c>
    </row>
    <row r="255">
      <c r="E255">
        <f>C255*D255</f>
        <v>0</v>
      </c>
    </row>
    <row r="256">
      <c r="E256">
        <f>C256*D256</f>
        <v>0</v>
      </c>
    </row>
    <row r="257">
      <c r="E257">
        <f>C257*D257</f>
        <v>0</v>
      </c>
    </row>
    <row r="258">
      <c r="E258">
        <f>C258*D258</f>
        <v>0</v>
      </c>
    </row>
    <row r="259">
      <c r="E259">
        <f>C259*D259</f>
        <v>0</v>
      </c>
    </row>
    <row r="260">
      <c r="E260">
        <f>C260*D260</f>
        <v>0</v>
      </c>
    </row>
    <row r="261">
      <c r="E261">
        <f>C261*D261</f>
        <v>0</v>
      </c>
    </row>
    <row r="262">
      <c r="E262">
        <f>C262*D262</f>
        <v>0</v>
      </c>
    </row>
    <row r="263">
      <c r="E263">
        <f>C263*D263</f>
        <v>0</v>
      </c>
    </row>
    <row r="264">
      <c r="E264">
        <f>C264*D264</f>
        <v>0</v>
      </c>
    </row>
    <row r="265">
      <c r="E265">
        <f>C265*D265</f>
        <v>0</v>
      </c>
    </row>
    <row r="266">
      <c r="E266">
        <f>C266*D266</f>
        <v>0</v>
      </c>
    </row>
    <row r="267">
      <c r="E267">
        <f>C267*D267</f>
        <v>0</v>
      </c>
    </row>
    <row r="268">
      <c r="E268">
        <f>C268*D268</f>
        <v>0</v>
      </c>
    </row>
    <row r="269">
      <c r="E269">
        <f>C269*D269</f>
        <v>0</v>
      </c>
    </row>
    <row r="270">
      <c r="E270">
        <f>C270*D270</f>
        <v>0</v>
      </c>
    </row>
    <row r="271">
      <c r="E271">
        <f>C271*D271</f>
        <v>0</v>
      </c>
    </row>
    <row r="272">
      <c r="E272">
        <f>C272*D272</f>
        <v>0</v>
      </c>
    </row>
    <row r="273">
      <c r="E273">
        <f>C273*D273</f>
        <v>0</v>
      </c>
    </row>
    <row r="274">
      <c r="E274">
        <f>C274*D274</f>
        <v>0</v>
      </c>
    </row>
    <row r="275">
      <c r="E275">
        <f>C275*D275</f>
        <v>0</v>
      </c>
    </row>
    <row r="276">
      <c r="E276">
        <f>C276*D276</f>
        <v>0</v>
      </c>
    </row>
    <row r="277">
      <c r="E277">
        <f>C277*D277</f>
        <v>0</v>
      </c>
    </row>
    <row r="278">
      <c r="E278">
        <f>C278*D278</f>
        <v>0</v>
      </c>
    </row>
    <row r="279">
      <c r="E279">
        <f>C279*D279</f>
        <v>0</v>
      </c>
    </row>
    <row r="280">
      <c r="E280">
        <f>C280*D280</f>
        <v>0</v>
      </c>
    </row>
    <row r="281">
      <c r="E281">
        <f>C281*D281</f>
        <v>0</v>
      </c>
    </row>
    <row r="282">
      <c r="E282">
        <f>C282*D282</f>
        <v>0</v>
      </c>
    </row>
    <row r="283">
      <c r="E283">
        <f>C283*D283</f>
        <v>0</v>
      </c>
    </row>
    <row r="284">
      <c r="E284">
        <f>C284*D284</f>
        <v>0</v>
      </c>
    </row>
    <row r="285">
      <c r="E285">
        <f>C285*D285</f>
        <v>0</v>
      </c>
    </row>
    <row r="286">
      <c r="E286">
        <f>C286*D286</f>
        <v>0</v>
      </c>
    </row>
    <row r="287">
      <c r="E287">
        <f>C287*D287</f>
        <v>0</v>
      </c>
    </row>
    <row r="288">
      <c r="E288">
        <f>C288*D288</f>
        <v>0</v>
      </c>
    </row>
    <row r="289">
      <c r="E289">
        <f>C289*D289</f>
        <v>0</v>
      </c>
    </row>
    <row r="290">
      <c r="E290">
        <f>C290*D290</f>
        <v>0</v>
      </c>
    </row>
    <row r="291">
      <c r="E291">
        <f>C291*D291</f>
        <v>0</v>
      </c>
    </row>
    <row r="292">
      <c r="E292">
        <f>C292*D292</f>
        <v>0</v>
      </c>
    </row>
    <row r="293">
      <c r="E293">
        <f>C293*D293</f>
        <v>0</v>
      </c>
    </row>
    <row r="294">
      <c r="E294">
        <f>C294*D294</f>
        <v>0</v>
      </c>
    </row>
    <row r="295">
      <c r="E295">
        <f>C295*D295</f>
        <v>0</v>
      </c>
    </row>
    <row r="296">
      <c r="E296">
        <f>C296*D296</f>
        <v>0</v>
      </c>
    </row>
    <row r="297">
      <c r="E297">
        <f>C297*D297</f>
        <v>0</v>
      </c>
    </row>
    <row r="298">
      <c r="E298">
        <f>C298*D298</f>
        <v>0</v>
      </c>
    </row>
    <row r="299">
      <c r="E299">
        <f>C299*D299</f>
        <v>0</v>
      </c>
    </row>
    <row r="300">
      <c r="E300">
        <f>C300*D300</f>
        <v>0</v>
      </c>
    </row>
    <row r="301">
      <c r="E301">
        <f>C301*D301</f>
        <v>0</v>
      </c>
    </row>
    <row r="302">
      <c r="E302">
        <f>C302*D302</f>
        <v>0</v>
      </c>
    </row>
    <row r="303">
      <c r="E303">
        <f>C303*D303</f>
        <v>0</v>
      </c>
    </row>
    <row r="304">
      <c r="E304">
        <f>C304*D304</f>
        <v>0</v>
      </c>
    </row>
    <row r="305">
      <c r="E305">
        <f>C305*D305</f>
        <v>0</v>
      </c>
    </row>
    <row r="306">
      <c r="E306">
        <f>C306*D306</f>
        <v>0</v>
      </c>
    </row>
    <row r="307">
      <c r="E307">
        <f>C307*D307</f>
        <v>0</v>
      </c>
    </row>
    <row r="308">
      <c r="E308">
        <f>C308*D308</f>
        <v>0</v>
      </c>
    </row>
    <row r="309">
      <c r="E309">
        <f>C309*D309</f>
        <v>0</v>
      </c>
    </row>
    <row r="310">
      <c r="E310">
        <f>C310*D310</f>
        <v>0</v>
      </c>
    </row>
    <row r="311">
      <c r="E311">
        <f>C311*D311</f>
        <v>0</v>
      </c>
    </row>
    <row r="312">
      <c r="E312">
        <f>C312*D312</f>
        <v>0</v>
      </c>
    </row>
    <row r="313">
      <c r="E313">
        <f>C313*D313</f>
        <v>0</v>
      </c>
    </row>
    <row r="314">
      <c r="E314">
        <f>C314*D314</f>
        <v>0</v>
      </c>
    </row>
    <row r="315">
      <c r="E315">
        <f>C315*D315</f>
        <v>0</v>
      </c>
    </row>
    <row r="316">
      <c r="E316">
        <f>C316*D316</f>
        <v>0</v>
      </c>
    </row>
    <row r="317">
      <c r="E317">
        <f>C317*D317</f>
        <v>0</v>
      </c>
    </row>
    <row r="318">
      <c r="E318">
        <f>C318*D318</f>
        <v>0</v>
      </c>
    </row>
    <row r="319">
      <c r="E319">
        <f>C319*D319</f>
        <v>0</v>
      </c>
    </row>
    <row r="320">
      <c r="E320">
        <f>C320*D320</f>
        <v>0</v>
      </c>
    </row>
    <row r="321">
      <c r="E321">
        <f>C321*D321</f>
        <v>0</v>
      </c>
    </row>
    <row r="322">
      <c r="E322">
        <f>C322*D322</f>
        <v>0</v>
      </c>
    </row>
    <row r="323">
      <c r="E323">
        <f>C323*D323</f>
        <v>0</v>
      </c>
    </row>
    <row r="324">
      <c r="E324">
        <f>C324*D324</f>
        <v>0</v>
      </c>
    </row>
    <row r="325">
      <c r="E325">
        <f>C325*D325</f>
        <v>0</v>
      </c>
    </row>
    <row r="326">
      <c r="E326">
        <f>C326*D326</f>
        <v>0</v>
      </c>
    </row>
    <row r="327">
      <c r="E327">
        <f>C327*D327</f>
        <v>0</v>
      </c>
    </row>
    <row r="328">
      <c r="E328">
        <f>C328*D328</f>
        <v>0</v>
      </c>
    </row>
    <row r="329">
      <c r="E329">
        <f>C329*D329</f>
        <v>0</v>
      </c>
    </row>
    <row r="330">
      <c r="E330">
        <f>C330*D330</f>
        <v>0</v>
      </c>
    </row>
    <row r="331">
      <c r="E331">
        <f>C331*D331</f>
        <v>0</v>
      </c>
    </row>
    <row r="332">
      <c r="E332">
        <f>C332*D332</f>
        <v>0</v>
      </c>
    </row>
    <row r="333">
      <c r="E333">
        <f>C333*D333</f>
        <v>0</v>
      </c>
    </row>
    <row r="334">
      <c r="E334">
        <f>C334*D334</f>
        <v>0</v>
      </c>
    </row>
    <row r="335">
      <c r="E335">
        <f>C335*D335</f>
        <v>0</v>
      </c>
    </row>
  </sheetData>
  <pageMargins left="0.7" right="0.7" top="0.75" bottom="0.75" header="0" footer="0"/>
  <ignoredErrors>
    <ignoredError numberStoredAsText="1" sqref="A1:Z12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206"/>
  <sheetViews>
    <sheetView workbookViewId="0" rightToLeft="0"/>
  </sheetViews>
  <sheetData>
    <row r="1">
      <c r="A1" t="str">
        <v xml:space="preserve">    </v>
      </c>
    </row>
    <row r="2">
      <c r="E2">
        <f>SUM(E4:E1066)</f>
        <v>160978.1</v>
      </c>
      <c r="K2">
        <f>SUM(K4:K31)</f>
        <v>160978.1</v>
      </c>
    </row>
    <row r="3">
      <c r="B3" t="str">
        <v>date</v>
      </c>
      <c r="C3" t="str">
        <v>unit price</v>
      </c>
      <c r="D3" t="str">
        <v>qtty</v>
      </c>
      <c r="E3" t="str">
        <v>total</v>
      </c>
      <c r="H3" t="str">
        <v>anomalies</v>
      </c>
      <c r="I3" t="str">
        <v xml:space="preserve">   </v>
      </c>
      <c r="J3" t="str">
        <v>category</v>
      </c>
      <c r="K3" t="str">
        <v>amount</v>
      </c>
      <c r="M3" t="str">
        <v>ave daily</v>
      </c>
    </row>
    <row r="4">
      <c r="B4">
        <v>46114</v>
      </c>
      <c r="C4">
        <f>106/2</f>
        <v>53</v>
      </c>
      <c r="D4">
        <v>2</v>
      </c>
      <c r="E4">
        <f>C4*D4</f>
        <v>106</v>
      </c>
      <c r="F4" t="str">
        <v>Shopee: Tsinelas</v>
      </c>
      <c r="G4" t="str">
        <v>store</v>
      </c>
      <c r="I4">
        <v>1</v>
      </c>
      <c r="J4" t="str">
        <v>admin</v>
      </c>
      <c r="K4">
        <f>SUMIF($G:G,J4,$E:E)</f>
        <v>527</v>
      </c>
      <c r="L4">
        <f>K4/$K$2</f>
        <v>0.003273737235</v>
      </c>
      <c r="M4">
        <f>K4/31</f>
        <v>17</v>
      </c>
    </row>
    <row r="5">
      <c r="B5">
        <v>46114</v>
      </c>
      <c r="C5">
        <v>70</v>
      </c>
      <c r="D5">
        <v>1</v>
      </c>
      <c r="E5">
        <f>C5*D5</f>
        <v>70</v>
      </c>
      <c r="F5" t="str">
        <v>Shopee: Straw</v>
      </c>
      <c r="G5" t="str">
        <v>kitchen</v>
      </c>
      <c r="I5">
        <v>2</v>
      </c>
      <c r="J5" t="str">
        <v>breakfast</v>
      </c>
      <c r="K5">
        <f>SUMIF($G:G,J5,$E:E)</f>
        <v>47460.1</v>
      </c>
      <c r="L5">
        <f>K5/$K$2</f>
        <v>0.2948233331</v>
      </c>
    </row>
    <row r="6">
      <c r="B6">
        <v>46114</v>
      </c>
      <c r="C6">
        <v>277</v>
      </c>
      <c r="D6">
        <v>1</v>
      </c>
      <c r="E6">
        <f>C6*D6</f>
        <v>277</v>
      </c>
      <c r="F6" t="str">
        <v>Shopee: Birthday decor</v>
      </c>
      <c r="G6" t="str">
        <v>admin</v>
      </c>
      <c r="I6">
        <v>3</v>
      </c>
      <c r="J6" t="str">
        <v>cellphone</v>
      </c>
      <c r="K6">
        <f>SUMIF($G:G,J6,$E:E)</f>
        <v>0</v>
      </c>
      <c r="L6">
        <f>K6/$K$2</f>
        <v>0</v>
      </c>
      <c r="M6">
        <f>K6/31</f>
        <v>0</v>
      </c>
    </row>
    <row r="7">
      <c r="B7">
        <v>46114</v>
      </c>
      <c r="C7">
        <v>600</v>
      </c>
      <c r="D7">
        <v>1</v>
      </c>
      <c r="E7">
        <f>C7*D7</f>
        <v>600</v>
      </c>
      <c r="F7" t="str">
        <v>Dionys Pandesal</v>
      </c>
      <c r="G7" t="str">
        <v>breakfast</v>
      </c>
      <c r="I7">
        <v>4</v>
      </c>
      <c r="J7" t="str">
        <v>cleaning</v>
      </c>
      <c r="K7">
        <f>SUMIF($G:G,J7,$E:E)</f>
        <v>0</v>
      </c>
      <c r="L7">
        <f>K7/$K$2</f>
        <v>0</v>
      </c>
      <c r="M7">
        <f>K7/31</f>
        <v>0</v>
      </c>
    </row>
    <row r="8">
      <c r="B8">
        <v>46114</v>
      </c>
      <c r="C8">
        <v>700</v>
      </c>
      <c r="D8">
        <v>1</v>
      </c>
      <c r="E8">
        <f>C8*D8</f>
        <v>700</v>
      </c>
      <c r="F8" t="str">
        <v>Coffee Grounds</v>
      </c>
      <c r="G8" t="str">
        <v>coffee</v>
      </c>
      <c r="I8">
        <v>5</v>
      </c>
      <c r="J8" t="str">
        <v>coffee</v>
      </c>
      <c r="K8">
        <f>SUMIF($G:G,J8,$E:E)</f>
        <v>7791.25</v>
      </c>
      <c r="L8">
        <f>K8/$K$2</f>
        <v>0.04839944067</v>
      </c>
      <c r="M8">
        <f>K8/31</f>
        <v>251.3306452</v>
      </c>
    </row>
    <row r="9">
      <c r="B9">
        <v>46114</v>
      </c>
      <c r="C9">
        <v>250</v>
      </c>
      <c r="D9">
        <v>1</v>
      </c>
      <c r="E9">
        <f>C9*D9</f>
        <v>250</v>
      </c>
      <c r="F9" t="str">
        <v>Shopee: Battery AAA</v>
      </c>
      <c r="G9" t="str">
        <v>admin</v>
      </c>
      <c r="I9">
        <v>6</v>
      </c>
      <c r="J9" t="str">
        <v>compliance</v>
      </c>
      <c r="K9">
        <f>SUMIF($G:G,J9,$E:E)</f>
        <v>0</v>
      </c>
      <c r="L9">
        <f>K9/$K$2</f>
        <v>0</v>
      </c>
      <c r="M9">
        <f>K9/31</f>
        <v>0</v>
      </c>
    </row>
    <row r="10">
      <c r="B10">
        <v>46114</v>
      </c>
      <c r="C10">
        <v>650</v>
      </c>
      <c r="D10">
        <v>10</v>
      </c>
      <c r="E10">
        <f>C10*D10</f>
        <v>6500</v>
      </c>
      <c r="F10" t="str">
        <v>Coffee Grounds</v>
      </c>
      <c r="G10" t="str">
        <v>coffee</v>
      </c>
      <c r="I10">
        <v>7</v>
      </c>
      <c r="J10" t="str">
        <v>donation</v>
      </c>
      <c r="K10">
        <f>SUMIF($G:G,J10,$E:E)</f>
        <v>0</v>
      </c>
      <c r="L10">
        <f>K10/$K$2</f>
        <v>0</v>
      </c>
      <c r="M10">
        <f>K10/31</f>
        <v>0</v>
      </c>
    </row>
    <row r="11">
      <c r="B11">
        <v>46115</v>
      </c>
      <c r="C11">
        <v>150</v>
      </c>
      <c r="D11">
        <v>3</v>
      </c>
      <c r="E11">
        <f>C11*D11</f>
        <v>450</v>
      </c>
      <c r="F11" t="str">
        <v>Joy Sari Sari Store: Tilapia</v>
      </c>
      <c r="G11" t="str">
        <v>staff meals</v>
      </c>
      <c r="I11">
        <v>8</v>
      </c>
      <c r="J11" t="str">
        <v>electricity</v>
      </c>
      <c r="K11">
        <f>SUMIF($G:G,J11,$E:E)</f>
        <v>65220</v>
      </c>
      <c r="L11">
        <f>K11/$K$2</f>
        <v>0.4051482779</v>
      </c>
      <c r="M11">
        <f>K11/31</f>
        <v>2103.870968</v>
      </c>
    </row>
    <row r="12">
      <c r="B12">
        <v>46115</v>
      </c>
      <c r="C12">
        <v>35</v>
      </c>
      <c r="D12">
        <v>4</v>
      </c>
      <c r="E12">
        <f>C12*D12</f>
        <v>140</v>
      </c>
      <c r="F12" t="str">
        <v>Joy Sari Sari Store:  Chicharon</v>
      </c>
      <c r="G12" t="str">
        <v>staff meals</v>
      </c>
      <c r="I12">
        <v>9</v>
      </c>
      <c r="J12" t="str">
        <v>extra staff</v>
      </c>
      <c r="K12">
        <f>SUMIF($G:G,J12,$E:E)</f>
        <v>0</v>
      </c>
      <c r="L12">
        <f>K12/$K$2</f>
        <v>0</v>
      </c>
      <c r="M12">
        <f>K12/31</f>
        <v>0</v>
      </c>
    </row>
    <row r="13">
      <c r="B13">
        <v>46115</v>
      </c>
      <c r="C13">
        <v>40</v>
      </c>
      <c r="D13">
        <v>1</v>
      </c>
      <c r="E13">
        <f>C13*D13</f>
        <v>40</v>
      </c>
      <c r="F13" t="str">
        <v>Joy Sari Sari Store: Monggo</v>
      </c>
      <c r="G13" t="str">
        <v>staff meals</v>
      </c>
      <c r="I13">
        <v>10</v>
      </c>
      <c r="J13" t="str">
        <v>garden</v>
      </c>
      <c r="K13">
        <f>SUMIF($G:G,J13,$E:E)</f>
        <v>3900</v>
      </c>
      <c r="L13">
        <f>K13/$K$2</f>
        <v>0.02422689794</v>
      </c>
      <c r="M13">
        <f>K13/31</f>
        <v>125.8064516</v>
      </c>
    </row>
    <row r="14">
      <c r="B14">
        <v>46115</v>
      </c>
      <c r="C14">
        <v>6</v>
      </c>
      <c r="D14">
        <v>3</v>
      </c>
      <c r="E14">
        <f>C14*D14</f>
        <v>18</v>
      </c>
      <c r="F14" t="str">
        <v>Joy Sari Sari Store: Magc sarap</v>
      </c>
      <c r="G14" t="str">
        <v>staff meals</v>
      </c>
      <c r="I14">
        <v>11</v>
      </c>
      <c r="J14" t="str">
        <v>genset</v>
      </c>
      <c r="K14">
        <f>SUMIF($G:G,J14,$E:E)</f>
        <v>0</v>
      </c>
      <c r="L14">
        <f>K14/$K$2</f>
        <v>0</v>
      </c>
      <c r="M14">
        <f>K14/31</f>
        <v>0</v>
      </c>
    </row>
    <row r="15">
      <c r="B15">
        <v>46115</v>
      </c>
      <c r="C15">
        <v>2</v>
      </c>
      <c r="D15">
        <v>5</v>
      </c>
      <c r="E15">
        <f>C15*D15</f>
        <v>10</v>
      </c>
      <c r="F15" t="str">
        <v>Joy Sari Sari Store: AJinomoto</v>
      </c>
      <c r="G15" t="str">
        <v>staff meals</v>
      </c>
      <c r="I15">
        <v>12</v>
      </c>
      <c r="J15" t="str">
        <v>horse</v>
      </c>
      <c r="K15">
        <f>SUMIF($G:G,J15,$E:E)</f>
        <v>0</v>
      </c>
      <c r="L15">
        <f>K15/$K$2</f>
        <v>0</v>
      </c>
    </row>
    <row r="16">
      <c r="B16">
        <v>46115</v>
      </c>
      <c r="C16">
        <v>10</v>
      </c>
      <c r="D16">
        <v>3</v>
      </c>
      <c r="E16">
        <f>C16*D16</f>
        <v>30</v>
      </c>
      <c r="F16" t="str">
        <v>Joy Sari Sari Store: Sibuyas</v>
      </c>
      <c r="G16" t="str">
        <v>staff meals</v>
      </c>
      <c r="I16">
        <v>13</v>
      </c>
      <c r="J16" t="str">
        <v>internet</v>
      </c>
      <c r="K16">
        <f>SUMIF($G:G,J16,$E:E)</f>
        <v>3800</v>
      </c>
      <c r="L16">
        <f>K16/$K$2</f>
        <v>0.02360569543</v>
      </c>
    </row>
    <row r="17">
      <c r="B17">
        <v>46115</v>
      </c>
      <c r="C17">
        <v>210</v>
      </c>
      <c r="D17">
        <v>1</v>
      </c>
      <c r="E17">
        <f>C17*D17</f>
        <v>210</v>
      </c>
      <c r="F17" t="str">
        <v>Joy Sari Sari Store:Lakatan</v>
      </c>
      <c r="G17" t="str">
        <v>breakfast</v>
      </c>
      <c r="I17">
        <v>14</v>
      </c>
      <c r="J17" t="str">
        <v>kitchen</v>
      </c>
      <c r="K17">
        <f>SUMIF($G:G,J17,$E:E)</f>
        <v>1910</v>
      </c>
      <c r="L17">
        <f>K17/$K$2</f>
        <v>0.01186496797</v>
      </c>
    </row>
    <row r="18">
      <c r="B18">
        <v>46115</v>
      </c>
      <c r="C18">
        <v>150</v>
      </c>
      <c r="D18">
        <v>1</v>
      </c>
      <c r="E18">
        <f>C18*D18</f>
        <v>150</v>
      </c>
      <c r="F18" t="str">
        <v>Joy Sari Sari Store:Kamatis</v>
      </c>
      <c r="G18" t="str">
        <v>breakfast</v>
      </c>
      <c r="I18">
        <v>15</v>
      </c>
      <c r="J18" t="str">
        <v>laundry</v>
      </c>
      <c r="K18">
        <f>SUMIF($G:G,J18,$E:E)</f>
        <v>5825.75</v>
      </c>
      <c r="L18">
        <f>K18/$K$2</f>
        <v>0.03618970531</v>
      </c>
    </row>
    <row r="19">
      <c r="B19">
        <v>46115</v>
      </c>
      <c r="C19">
        <v>140</v>
      </c>
      <c r="D19">
        <v>1</v>
      </c>
      <c r="E19">
        <f>C19*D19</f>
        <v>140</v>
      </c>
      <c r="F19" t="str">
        <v>Joy Sari Sari Store:Okra</v>
      </c>
      <c r="G19" t="str">
        <v>breakfast</v>
      </c>
      <c r="I19">
        <v>16</v>
      </c>
      <c r="J19" t="str">
        <v>linens/towels</v>
      </c>
      <c r="K19">
        <f>SUMIF($G:G,J19,$E:E)</f>
        <v>0</v>
      </c>
      <c r="L19">
        <f>K19/$K$2</f>
        <v>0</v>
      </c>
    </row>
    <row r="20">
      <c r="B20">
        <v>46115</v>
      </c>
      <c r="C20">
        <v>65</v>
      </c>
      <c r="D20">
        <v>2</v>
      </c>
      <c r="E20">
        <f>C20*D20</f>
        <v>130</v>
      </c>
      <c r="F20" t="str">
        <v>Joy Sari Sari Store:Sitaw</v>
      </c>
      <c r="G20" t="str">
        <v>breakfast</v>
      </c>
      <c r="I20">
        <v>17</v>
      </c>
      <c r="J20" t="str">
        <v>lunch/dinner</v>
      </c>
      <c r="K20">
        <f>SUMIF($G:G,J20,$E:E)</f>
        <v>10897</v>
      </c>
      <c r="L20">
        <f>K20/$K$2</f>
        <v>0.06769243767</v>
      </c>
      <c r="M20">
        <f>K20/31</f>
        <v>351.516129</v>
      </c>
    </row>
    <row r="21">
      <c r="B21">
        <v>46115</v>
      </c>
      <c r="C21">
        <v>60</v>
      </c>
      <c r="D21">
        <v>1</v>
      </c>
      <c r="E21">
        <f>C21*D21</f>
        <v>60</v>
      </c>
      <c r="F21" t="str">
        <v>Joy Sari Sari Store:Leaks</v>
      </c>
      <c r="G21" t="str">
        <v>breakfast</v>
      </c>
      <c r="I21">
        <v>18</v>
      </c>
      <c r="J21" t="str">
        <v>maintenance</v>
      </c>
      <c r="K21">
        <f>SUMIF($G:G,J21,$E:E)</f>
        <v>0</v>
      </c>
      <c r="L21">
        <f>K21/$K$2</f>
        <v>0</v>
      </c>
    </row>
    <row r="22">
      <c r="B22">
        <v>46115</v>
      </c>
      <c r="C22">
        <v>860</v>
      </c>
      <c r="D22">
        <v>1</v>
      </c>
      <c r="E22">
        <f>C22*D22</f>
        <v>860</v>
      </c>
      <c r="F22" t="str">
        <v>Joy Sari Sari Store:Lakatan</v>
      </c>
      <c r="G22" t="str">
        <v>breakfast</v>
      </c>
      <c r="I22">
        <v>19</v>
      </c>
      <c r="J22" t="str">
        <v>meal</v>
      </c>
      <c r="K22">
        <f>SUMIF($G:G,J22,$E:E)</f>
        <v>0</v>
      </c>
      <c r="L22">
        <f>K22/$K$2</f>
        <v>0</v>
      </c>
    </row>
    <row r="23">
      <c r="B23">
        <v>46115</v>
      </c>
      <c r="C23">
        <v>500</v>
      </c>
      <c r="D23">
        <v>1</v>
      </c>
      <c r="E23">
        <f>C23*D23</f>
        <v>500</v>
      </c>
      <c r="F23" t="str">
        <v>Dionys Pandesal</v>
      </c>
      <c r="G23" t="str">
        <v>breakfast</v>
      </c>
      <c r="I23">
        <v>20</v>
      </c>
      <c r="J23" t="str">
        <v>miscellaneous</v>
      </c>
      <c r="K23">
        <f>SUMIF($G:G,J23,$E:E)</f>
        <v>0</v>
      </c>
      <c r="L23">
        <f>K23/$K$2</f>
        <v>0</v>
      </c>
    </row>
    <row r="24">
      <c r="B24">
        <v>46115</v>
      </c>
      <c r="C24">
        <v>200</v>
      </c>
      <c r="D24">
        <v>5</v>
      </c>
      <c r="E24">
        <f>C24*D24</f>
        <v>1000</v>
      </c>
      <c r="F24" t="str">
        <v>Baterol</v>
      </c>
      <c r="G24" t="str">
        <v>breakfast</v>
      </c>
      <c r="I24">
        <v>21</v>
      </c>
      <c r="J24" t="str">
        <v>pool</v>
      </c>
      <c r="K24">
        <f>SUMIF($G:G,J24,$E:E)</f>
        <v>0</v>
      </c>
      <c r="L24">
        <f>K24/$K$2</f>
        <v>0</v>
      </c>
    </row>
    <row r="25">
      <c r="B25">
        <v>46116</v>
      </c>
      <c r="C25">
        <v>230</v>
      </c>
      <c r="D25">
        <v>2</v>
      </c>
      <c r="E25">
        <f>C25*D25</f>
        <v>460</v>
      </c>
      <c r="F25" t="str">
        <v>Irene Medina: Egg</v>
      </c>
      <c r="G25" t="str">
        <v>breakfast</v>
      </c>
      <c r="I25">
        <v>22</v>
      </c>
      <c r="J25" t="str">
        <v>recreation</v>
      </c>
      <c r="K25">
        <f>SUMIF($G:G,J25,$E:E)</f>
        <v>0</v>
      </c>
      <c r="L25">
        <f>K25/$K$2</f>
        <v>0</v>
      </c>
      <c r="M25">
        <f>K25/31</f>
        <v>0</v>
      </c>
    </row>
    <row r="26">
      <c r="B26">
        <v>46116</v>
      </c>
      <c r="C26">
        <f>520/2</f>
        <v>260</v>
      </c>
      <c r="D26">
        <v>2</v>
      </c>
      <c r="E26">
        <f>C26*D26</f>
        <v>520</v>
      </c>
      <c r="F26" t="str">
        <v>Joy Sari Sari Store:Egg</v>
      </c>
      <c r="G26" t="str">
        <v>breakfast</v>
      </c>
      <c r="I26">
        <v>23</v>
      </c>
      <c r="J26" t="str">
        <v>repair</v>
      </c>
      <c r="K26">
        <f>SUMIF($G:G,J26,$E:E)</f>
        <v>500</v>
      </c>
      <c r="L26">
        <f>K26/$K$2</f>
        <v>0.003106012557</v>
      </c>
      <c r="M26">
        <f>K26/31</f>
        <v>16.12903226</v>
      </c>
    </row>
    <row r="27">
      <c r="B27">
        <v>46116</v>
      </c>
      <c r="C27">
        <v>70</v>
      </c>
      <c r="D27">
        <v>2</v>
      </c>
      <c r="E27">
        <f>C27*D27</f>
        <v>140</v>
      </c>
      <c r="F27" t="str">
        <v>Joy Sari Sari Store:Talong</v>
      </c>
      <c r="G27" t="str">
        <v>breakfast</v>
      </c>
      <c r="I27">
        <v>24</v>
      </c>
      <c r="J27" t="str">
        <v>staff meals</v>
      </c>
      <c r="K27">
        <f>SUMIF($G:G,J27,$E:E)</f>
        <v>6931</v>
      </c>
      <c r="L27">
        <f>K27/$K$2</f>
        <v>0.04305554606</v>
      </c>
      <c r="M27">
        <f>K27/31</f>
        <v>223.5806452</v>
      </c>
    </row>
    <row r="28">
      <c r="B28">
        <v>46116</v>
      </c>
      <c r="C28">
        <v>40</v>
      </c>
      <c r="D28">
        <v>10</v>
      </c>
      <c r="E28">
        <f>C28*D28</f>
        <v>400</v>
      </c>
      <c r="F28" t="str">
        <v>Joy Sari Sari Store:Lakatan</v>
      </c>
      <c r="G28" t="str">
        <v>breakfast</v>
      </c>
      <c r="I28">
        <v>25</v>
      </c>
      <c r="J28" t="str">
        <v>store</v>
      </c>
      <c r="K28">
        <f>SUMIF($G:G,J28,$E:E)</f>
        <v>106</v>
      </c>
      <c r="L28">
        <f>K28/$K$2</f>
        <v>0.0006584746621</v>
      </c>
    </row>
    <row r="29">
      <c r="B29">
        <v>46116</v>
      </c>
      <c r="C29">
        <v>140</v>
      </c>
      <c r="D29">
        <v>1</v>
      </c>
      <c r="E29">
        <f>C29*D29</f>
        <v>140</v>
      </c>
      <c r="F29" t="str">
        <v>Joy Sari Sari Store:Okra</v>
      </c>
      <c r="G29" t="str">
        <v>breakfast</v>
      </c>
      <c r="I29">
        <v>26</v>
      </c>
      <c r="J29" t="str">
        <v>transpo</v>
      </c>
      <c r="K29">
        <f>SUMIF($G:G,J29,$E:E)</f>
        <v>2600</v>
      </c>
      <c r="L29">
        <f>K29/$K$2</f>
        <v>0.0161512653</v>
      </c>
      <c r="M29">
        <f>K29/31</f>
        <v>83.87096774</v>
      </c>
    </row>
    <row r="30">
      <c r="B30">
        <v>46116</v>
      </c>
      <c r="C30">
        <f>840/3</f>
        <v>280</v>
      </c>
      <c r="D30">
        <v>3</v>
      </c>
      <c r="E30">
        <f>C30*D30</f>
        <v>840</v>
      </c>
      <c r="F30" t="str">
        <v>Joy Sari Sari Store: Pakwan</v>
      </c>
      <c r="G30" t="str">
        <v>breakfast</v>
      </c>
      <c r="I30">
        <v>27</v>
      </c>
      <c r="J30" t="str">
        <v>uniforms</v>
      </c>
      <c r="K30">
        <f>SUMIF($G:G,J30,$E:E)</f>
        <v>0</v>
      </c>
      <c r="L30">
        <f>K30/$K$2</f>
        <v>0</v>
      </c>
      <c r="M30">
        <f>K30/31</f>
        <v>0</v>
      </c>
    </row>
    <row r="31">
      <c r="B31">
        <v>46116</v>
      </c>
      <c r="C31">
        <v>40</v>
      </c>
      <c r="D31">
        <v>2</v>
      </c>
      <c r="E31">
        <f>C31*D31</f>
        <v>80</v>
      </c>
      <c r="F31" t="str">
        <v>Joy Sari Sari Store:Kamatis</v>
      </c>
      <c r="G31" t="str">
        <v>breakfast</v>
      </c>
      <c r="I31">
        <v>28</v>
      </c>
      <c r="J31" t="str">
        <v>water</v>
      </c>
      <c r="K31">
        <f>SUMIF($G:G,J31,$E:E)</f>
        <v>3510</v>
      </c>
      <c r="L31">
        <f>K31/$K$2</f>
        <v>0.02180420815</v>
      </c>
    </row>
    <row r="32">
      <c r="B32">
        <v>46116</v>
      </c>
      <c r="C32">
        <v>86</v>
      </c>
      <c r="D32">
        <v>1</v>
      </c>
      <c r="E32">
        <f>C32*D32</f>
        <v>86</v>
      </c>
      <c r="F32" t="str">
        <v>Joy Sari Sari Store:Kalabasa</v>
      </c>
      <c r="G32" t="str">
        <v>staff meals</v>
      </c>
      <c r="L32">
        <f>K32/$K$2</f>
        <v>0</v>
      </c>
    </row>
    <row r="33">
      <c r="B33">
        <v>46116</v>
      </c>
      <c r="C33">
        <v>125</v>
      </c>
      <c r="D33">
        <v>1</v>
      </c>
      <c r="E33">
        <f>C33*D33</f>
        <v>125</v>
      </c>
      <c r="F33" t="str">
        <v>Joy Sari Sari Store:Pakbet</v>
      </c>
      <c r="G33" t="str">
        <v>staff meals</v>
      </c>
    </row>
    <row r="34">
      <c r="B34">
        <v>46116</v>
      </c>
      <c r="C34">
        <v>280</v>
      </c>
      <c r="D34">
        <v>1</v>
      </c>
      <c r="E34">
        <f>C34*D34</f>
        <v>280</v>
      </c>
      <c r="F34" t="str">
        <v>Joy Sari Sari Store:Gigi</v>
      </c>
      <c r="G34" t="str">
        <v>staff meals</v>
      </c>
    </row>
    <row r="35">
      <c r="B35">
        <v>46116</v>
      </c>
      <c r="C35">
        <v>150</v>
      </c>
      <c r="D35">
        <v>1</v>
      </c>
      <c r="E35">
        <f>C35*D35</f>
        <v>150</v>
      </c>
      <c r="F35" t="str">
        <v>Joy Sari Sari Store:Talapia</v>
      </c>
      <c r="G35" t="str">
        <v>staff meals</v>
      </c>
    </row>
    <row r="36">
      <c r="B36">
        <v>46116</v>
      </c>
      <c r="C36">
        <v>35</v>
      </c>
      <c r="D36">
        <v>1</v>
      </c>
      <c r="E36">
        <f>C36*D36</f>
        <v>35</v>
      </c>
      <c r="F36" t="str">
        <v>Joy Sari Sari Store:Sibuyas</v>
      </c>
      <c r="G36" t="str">
        <v>staff meals</v>
      </c>
    </row>
    <row r="37">
      <c r="B37">
        <v>46116</v>
      </c>
      <c r="C37">
        <v>33</v>
      </c>
      <c r="D37">
        <v>1</v>
      </c>
      <c r="E37">
        <f>C37*D37</f>
        <v>33</v>
      </c>
      <c r="F37" t="str">
        <v>Ampalaya</v>
      </c>
      <c r="G37" t="str">
        <v>breakfast</v>
      </c>
    </row>
    <row r="38">
      <c r="B38">
        <v>46117</v>
      </c>
      <c r="C38">
        <v>65</v>
      </c>
      <c r="D38">
        <v>1</v>
      </c>
      <c r="E38">
        <f>C38*D38</f>
        <v>65</v>
      </c>
      <c r="F38" t="str">
        <v>Joy Sari Sari Store:Talong</v>
      </c>
      <c r="G38" t="str">
        <v>breakfast</v>
      </c>
    </row>
    <row r="39">
      <c r="B39">
        <v>46117</v>
      </c>
      <c r="C39">
        <v>140</v>
      </c>
      <c r="D39">
        <v>1</v>
      </c>
      <c r="E39">
        <f>C39*D39</f>
        <v>140</v>
      </c>
      <c r="F39" t="str">
        <v>Joy Sari Sari Store:Okra</v>
      </c>
      <c r="G39" t="str">
        <v>breakfast</v>
      </c>
    </row>
    <row r="40">
      <c r="B40">
        <v>46117</v>
      </c>
      <c r="C40">
        <v>60</v>
      </c>
      <c r="D40">
        <v>1</v>
      </c>
      <c r="E40">
        <f>C40*D40</f>
        <v>60</v>
      </c>
      <c r="F40" t="str">
        <v>Joy Sari Sari Store:Leaks</v>
      </c>
      <c r="G40" t="str">
        <v>breakfast</v>
      </c>
      <c r="H40" t="str">
        <v xml:space="preserve"> </v>
      </c>
    </row>
    <row r="41">
      <c r="B41">
        <v>46118</v>
      </c>
      <c r="C41">
        <v>500</v>
      </c>
      <c r="D41">
        <v>3</v>
      </c>
      <c r="E41">
        <f>C41*D41</f>
        <v>1500</v>
      </c>
      <c r="F41" t="str">
        <v>Palengke: Beef</v>
      </c>
      <c r="G41" t="str">
        <v>lunch/dinner</v>
      </c>
      <c r="L41" t="str">
        <v xml:space="preserve"> </v>
      </c>
    </row>
    <row r="42">
      <c r="B42">
        <v>46118</v>
      </c>
      <c r="C42">
        <v>2623</v>
      </c>
      <c r="D42">
        <v>1</v>
      </c>
      <c r="E42">
        <f>C42*D42</f>
        <v>2623</v>
      </c>
      <c r="F42" t="str">
        <v>Palengke: Vegetables</v>
      </c>
      <c r="G42" t="str">
        <v>lunch/dinner</v>
      </c>
    </row>
    <row r="43">
      <c r="B43">
        <v>46118</v>
      </c>
      <c r="C43">
        <v>260</v>
      </c>
      <c r="D43">
        <v>1</v>
      </c>
      <c r="E43">
        <f>C43*D43</f>
        <v>260</v>
      </c>
      <c r="F43" t="str">
        <v>Palengke: Chicken</v>
      </c>
      <c r="G43" t="str">
        <v>lunch/dinner</v>
      </c>
    </row>
    <row r="44">
      <c r="B44">
        <v>46118</v>
      </c>
      <c r="C44">
        <v>100</v>
      </c>
      <c r="D44">
        <v>1</v>
      </c>
      <c r="E44">
        <f>C44*D44</f>
        <v>100</v>
      </c>
      <c r="F44" t="str">
        <v>Palengke: Paminta</v>
      </c>
      <c r="G44" t="str">
        <v>lunch/dinner</v>
      </c>
    </row>
    <row r="45">
      <c r="B45">
        <v>46118</v>
      </c>
      <c r="C45">
        <v>100</v>
      </c>
      <c r="D45">
        <v>1</v>
      </c>
      <c r="E45">
        <f>C45*D45</f>
        <v>100</v>
      </c>
      <c r="F45" t="str">
        <v>Palengke: Sago</v>
      </c>
      <c r="G45" t="str">
        <v>lunch/dinner</v>
      </c>
    </row>
    <row r="46">
      <c r="B46">
        <v>46118</v>
      </c>
      <c r="C46">
        <v>200</v>
      </c>
      <c r="D46">
        <v>1</v>
      </c>
      <c r="E46">
        <f>C46*D46</f>
        <v>200</v>
      </c>
      <c r="F46" t="str">
        <v>Palengke: Saging</v>
      </c>
      <c r="G46" t="str">
        <v>lunch/dinner</v>
      </c>
    </row>
    <row r="47">
      <c r="B47">
        <v>46118</v>
      </c>
      <c r="C47">
        <v>200</v>
      </c>
      <c r="D47">
        <v>1</v>
      </c>
      <c r="E47">
        <f>C47*D47</f>
        <v>200</v>
      </c>
      <c r="F47" t="str">
        <v>Palengke: Meryenda</v>
      </c>
      <c r="G47" t="str">
        <v>lunch/dinner</v>
      </c>
    </row>
    <row r="48">
      <c r="B48">
        <v>46118</v>
      </c>
      <c r="C48">
        <v>2353.75</v>
      </c>
      <c r="D48">
        <v>1</v>
      </c>
      <c r="E48">
        <f>C48*D48</f>
        <v>2353.75</v>
      </c>
      <c r="F48" t="str">
        <v>Puregold: Laundry</v>
      </c>
      <c r="G48" t="str">
        <v>laundry</v>
      </c>
    </row>
    <row r="49">
      <c r="B49">
        <v>46118</v>
      </c>
      <c r="C49">
        <v>3566.25</v>
      </c>
      <c r="D49">
        <v>1</v>
      </c>
      <c r="E49">
        <f>C49*D49</f>
        <v>3566.25</v>
      </c>
      <c r="F49" t="str">
        <v>Puregold:Breakfast</v>
      </c>
      <c r="G49" t="str">
        <v>breakfast</v>
      </c>
    </row>
    <row r="50">
      <c r="B50">
        <v>46118</v>
      </c>
      <c r="C50">
        <v>1400</v>
      </c>
      <c r="D50">
        <v>3</v>
      </c>
      <c r="E50">
        <f>C50*D50</f>
        <v>4200</v>
      </c>
      <c r="F50" t="str">
        <v>Palengke: Rice</v>
      </c>
      <c r="G50" t="str">
        <v>breakfast</v>
      </c>
    </row>
    <row r="51">
      <c r="B51">
        <v>46118</v>
      </c>
      <c r="C51">
        <f>1400/5</f>
        <v>280</v>
      </c>
      <c r="D51">
        <v>5</v>
      </c>
      <c r="E51">
        <f>C51*D51</f>
        <v>1400</v>
      </c>
      <c r="F51" t="str">
        <v>Palengke:Tinapas Salinas</v>
      </c>
      <c r="G51" t="str">
        <v>breakfast</v>
      </c>
    </row>
    <row r="52">
      <c r="B52">
        <v>46118</v>
      </c>
      <c r="C52">
        <f>1200/5</f>
        <v>240</v>
      </c>
      <c r="D52">
        <v>5</v>
      </c>
      <c r="E52">
        <f>C52*D52</f>
        <v>1200</v>
      </c>
      <c r="F52" t="str">
        <v>Palengke:Tinapang kapak</v>
      </c>
      <c r="G52" t="str">
        <v>breakfast</v>
      </c>
    </row>
    <row r="53">
      <c r="B53">
        <v>46118</v>
      </c>
      <c r="C53">
        <f>760/2</f>
        <v>380</v>
      </c>
      <c r="D53">
        <v>2</v>
      </c>
      <c r="E53">
        <f>C53*D53</f>
        <v>760</v>
      </c>
      <c r="F53" t="str">
        <v>Palengke:Tinapa Galunggong</v>
      </c>
      <c r="G53" t="str">
        <v>breakfast</v>
      </c>
    </row>
    <row r="54">
      <c r="B54">
        <v>46118</v>
      </c>
      <c r="C54">
        <v>500</v>
      </c>
      <c r="D54">
        <v>1</v>
      </c>
      <c r="E54">
        <f>C54*D54</f>
        <v>500</v>
      </c>
      <c r="F54" t="str">
        <v>Palengke:Vegetable</v>
      </c>
      <c r="G54" t="str">
        <v>breakfast</v>
      </c>
    </row>
    <row r="55">
      <c r="B55">
        <v>46118</v>
      </c>
      <c r="C55">
        <v>1000</v>
      </c>
      <c r="D55">
        <v>1</v>
      </c>
      <c r="E55">
        <f>C55*D55</f>
        <v>1000</v>
      </c>
      <c r="F55" t="str">
        <v>Palengke:Transpo</v>
      </c>
      <c r="G55" t="str">
        <v>transpo</v>
      </c>
    </row>
    <row r="56">
      <c r="B56">
        <v>46119</v>
      </c>
      <c r="C56">
        <v>300</v>
      </c>
      <c r="D56">
        <v>1</v>
      </c>
      <c r="E56">
        <f>C56*D56</f>
        <v>300</v>
      </c>
      <c r="F56" t="str">
        <v>Dionys Pandesal</v>
      </c>
      <c r="G56" t="str">
        <v>breakfast</v>
      </c>
    </row>
    <row r="57">
      <c r="B57">
        <v>46120</v>
      </c>
      <c r="C57">
        <v>230</v>
      </c>
      <c r="D57">
        <v>3</v>
      </c>
      <c r="E57">
        <f>C57*D57</f>
        <v>690</v>
      </c>
      <c r="F57" t="str">
        <v>Irene Medina: Egg</v>
      </c>
      <c r="G57" t="str">
        <v>breakfast</v>
      </c>
    </row>
    <row r="58">
      <c r="B58">
        <v>46120</v>
      </c>
      <c r="C58">
        <v>350</v>
      </c>
      <c r="D58">
        <v>1</v>
      </c>
      <c r="E58">
        <f>C58*D58</f>
        <v>350</v>
      </c>
      <c r="F58" t="str">
        <v>Dionys Pandesal</v>
      </c>
      <c r="G58" t="str">
        <v>breakfast</v>
      </c>
    </row>
    <row r="59">
      <c r="B59">
        <v>46122</v>
      </c>
      <c r="C59">
        <v>130</v>
      </c>
      <c r="D59">
        <v>1</v>
      </c>
      <c r="E59">
        <f>C59*D59</f>
        <v>130</v>
      </c>
      <c r="F59" t="str">
        <v>Joy Sari Sari Store: Lakatan</v>
      </c>
      <c r="G59" t="str">
        <v>breakfast</v>
      </c>
    </row>
    <row r="60">
      <c r="B60">
        <v>46122</v>
      </c>
      <c r="C60">
        <v>585</v>
      </c>
      <c r="D60">
        <v>1</v>
      </c>
      <c r="E60">
        <f>C60*D60</f>
        <v>585</v>
      </c>
      <c r="F60" t="str">
        <v>Joy Sari Sari Store: Chicken</v>
      </c>
      <c r="G60" t="str">
        <v>staff meals</v>
      </c>
    </row>
    <row r="61">
      <c r="B61">
        <v>46122</v>
      </c>
      <c r="C61">
        <v>67</v>
      </c>
      <c r="D61">
        <v>1</v>
      </c>
      <c r="E61">
        <f>C61*D61</f>
        <v>67</v>
      </c>
      <c r="F61" t="str">
        <v>Joy Sari Sari Store: Patatas</v>
      </c>
      <c r="G61" t="str">
        <v>staff meals</v>
      </c>
    </row>
    <row r="62">
      <c r="B62">
        <v>46122</v>
      </c>
      <c r="C62">
        <v>8</v>
      </c>
      <c r="D62">
        <v>1</v>
      </c>
      <c r="E62">
        <f>C62*D62</f>
        <v>8</v>
      </c>
      <c r="F62" t="str">
        <v>Joy Sari Sari Store: Bawang</v>
      </c>
      <c r="G62" t="str">
        <v>staff meals</v>
      </c>
    </row>
    <row r="63">
      <c r="B63">
        <v>46122</v>
      </c>
      <c r="C63">
        <v>14</v>
      </c>
      <c r="D63">
        <v>1</v>
      </c>
      <c r="E63">
        <f>C63*D63</f>
        <v>14</v>
      </c>
      <c r="F63" t="str">
        <v>Joy Sari Sari Store: Sibuyas</v>
      </c>
      <c r="G63" t="str">
        <v>staff meals</v>
      </c>
    </row>
    <row r="64">
      <c r="B64">
        <v>46122</v>
      </c>
      <c r="C64">
        <v>6</v>
      </c>
      <c r="D64">
        <v>2</v>
      </c>
      <c r="E64">
        <f>C64*D64</f>
        <v>12</v>
      </c>
      <c r="F64" t="str">
        <v>Joy Sari Sari Store: Magic</v>
      </c>
      <c r="G64" t="str">
        <v>staff meals</v>
      </c>
    </row>
    <row r="65">
      <c r="B65">
        <v>46122</v>
      </c>
      <c r="C65">
        <v>13</v>
      </c>
      <c r="D65">
        <v>1</v>
      </c>
      <c r="E65">
        <f>C65*D65</f>
        <v>13</v>
      </c>
      <c r="F65" t="str">
        <v>Joy Sari Sari Store: Toyo</v>
      </c>
      <c r="G65" t="str">
        <v>staff meals</v>
      </c>
    </row>
    <row r="66">
      <c r="B66">
        <v>46123</v>
      </c>
      <c r="C66">
        <v>150</v>
      </c>
      <c r="D66">
        <v>2</v>
      </c>
      <c r="E66">
        <f>C66*D66</f>
        <v>300</v>
      </c>
      <c r="F66" t="str">
        <v>Joy Sari Sari Store: Talapia</v>
      </c>
      <c r="G66" t="str">
        <v>staff meals</v>
      </c>
    </row>
    <row r="67">
      <c r="B67">
        <v>46123</v>
      </c>
      <c r="C67">
        <v>130</v>
      </c>
      <c r="D67">
        <v>1</v>
      </c>
      <c r="E67">
        <f>C67*D67</f>
        <v>130</v>
      </c>
      <c r="F67" t="str">
        <v>Joy Sari Sari Store: Atay</v>
      </c>
      <c r="G67" t="str">
        <v>staff meals</v>
      </c>
      <c r="H67" t="str">
        <v xml:space="preserve">     </v>
      </c>
    </row>
    <row r="68">
      <c r="B68">
        <v>46123</v>
      </c>
      <c r="C68">
        <v>140</v>
      </c>
      <c r="D68">
        <v>1</v>
      </c>
      <c r="E68">
        <f>C68*D68</f>
        <v>140</v>
      </c>
      <c r="F68" t="str">
        <v>Joy Sari Sari Store: Chpseuy</v>
      </c>
      <c r="G68" t="str">
        <v>staff meals</v>
      </c>
    </row>
    <row r="69">
      <c r="B69">
        <v>46123</v>
      </c>
      <c r="C69">
        <v>130</v>
      </c>
      <c r="D69">
        <v>1</v>
      </c>
      <c r="E69">
        <f>C69*D69</f>
        <v>130</v>
      </c>
      <c r="F69" t="str">
        <v>Joy Sari Sari Store: Manok</v>
      </c>
      <c r="G69" t="str">
        <v>staff meals</v>
      </c>
    </row>
    <row r="70">
      <c r="B70">
        <v>46124</v>
      </c>
      <c r="C70">
        <v>2000</v>
      </c>
      <c r="D70">
        <v>1</v>
      </c>
      <c r="E70">
        <f>C70*D70</f>
        <v>2000</v>
      </c>
      <c r="F70" t="str">
        <v xml:space="preserve">Joy Sari Sari Store: Chicken </v>
      </c>
      <c r="G70" t="str">
        <v>lunch/dinner</v>
      </c>
    </row>
    <row r="71">
      <c r="B71">
        <v>46124</v>
      </c>
      <c r="C71">
        <f>520/2</f>
        <v>260</v>
      </c>
      <c r="D71">
        <v>2</v>
      </c>
      <c r="E71">
        <f>C71*D71</f>
        <v>520</v>
      </c>
      <c r="F71" t="str">
        <v>Joy Sari Sari Store: Chicken</v>
      </c>
      <c r="G71" t="str">
        <v>staff meals</v>
      </c>
    </row>
    <row r="72">
      <c r="B72">
        <v>46124</v>
      </c>
      <c r="C72">
        <v>170</v>
      </c>
      <c r="D72">
        <v>1</v>
      </c>
      <c r="E72">
        <f>C72*D72</f>
        <v>170</v>
      </c>
      <c r="F72" t="str">
        <v>Joy Sari Sari Store: Daing bangus</v>
      </c>
      <c r="G72" t="str">
        <v>staff meals</v>
      </c>
    </row>
    <row r="73">
      <c r="B73">
        <v>46124</v>
      </c>
      <c r="C73">
        <v>10</v>
      </c>
      <c r="D73">
        <v>1</v>
      </c>
      <c r="E73">
        <f>C73*D73</f>
        <v>10</v>
      </c>
      <c r="F73" t="str">
        <v>Joy Sari Sari Store: Luya</v>
      </c>
      <c r="G73" t="str">
        <v>staff meals</v>
      </c>
    </row>
    <row r="74">
      <c r="B74">
        <v>46124</v>
      </c>
      <c r="C74">
        <v>60</v>
      </c>
      <c r="D74">
        <v>1</v>
      </c>
      <c r="E74">
        <f>C74*D74</f>
        <v>60</v>
      </c>
      <c r="F74" t="str">
        <v>Joy Sari Sari Store: Talong</v>
      </c>
      <c r="G74" t="str">
        <v>breakfast</v>
      </c>
    </row>
    <row r="75">
      <c r="B75">
        <v>46124</v>
      </c>
      <c r="C75">
        <v>185</v>
      </c>
      <c r="D75">
        <v>1</v>
      </c>
      <c r="E75">
        <f>C75*D75</f>
        <v>185</v>
      </c>
      <c r="F75" t="str">
        <v>Joy Sari Sari Store: Lakatan</v>
      </c>
      <c r="G75" t="str">
        <v>breakfast</v>
      </c>
    </row>
    <row r="76">
      <c r="B76">
        <v>46124</v>
      </c>
      <c r="C76">
        <v>160</v>
      </c>
      <c r="D76">
        <v>1</v>
      </c>
      <c r="E76">
        <f>C76*D76</f>
        <v>160</v>
      </c>
      <c r="F76" t="str">
        <v>Joy Sari Sari Store: Carrots</v>
      </c>
      <c r="G76" t="str">
        <v>breakfast</v>
      </c>
    </row>
    <row r="77">
      <c r="B77">
        <v>46125</v>
      </c>
      <c r="C77">
        <v>235</v>
      </c>
      <c r="D77">
        <v>1</v>
      </c>
      <c r="E77">
        <f>C77*D77</f>
        <v>235</v>
      </c>
      <c r="F77" t="str">
        <v>Joy Sari Sari Store: Lakatan</v>
      </c>
      <c r="G77" t="str">
        <v>breakfast</v>
      </c>
    </row>
    <row r="78">
      <c r="B78">
        <v>46126</v>
      </c>
      <c r="C78">
        <v>230</v>
      </c>
      <c r="D78">
        <v>3</v>
      </c>
      <c r="E78">
        <f>C78*D78</f>
        <v>690</v>
      </c>
      <c r="F78" t="str">
        <v>Irene Medina: Egg</v>
      </c>
      <c r="G78" t="str">
        <v>breakfast</v>
      </c>
    </row>
    <row r="79">
      <c r="B79">
        <v>46127</v>
      </c>
      <c r="C79">
        <v>45</v>
      </c>
      <c r="D79">
        <v>37</v>
      </c>
      <c r="E79">
        <f>C79*D79</f>
        <v>1665</v>
      </c>
      <c r="F79" t="str">
        <v>Beperas: Water</v>
      </c>
      <c r="G79" t="str">
        <v>water</v>
      </c>
    </row>
    <row r="80">
      <c r="B80">
        <v>46129</v>
      </c>
      <c r="C80">
        <v>180</v>
      </c>
      <c r="D80">
        <v>1</v>
      </c>
      <c r="E80">
        <f>C80*D80</f>
        <v>180</v>
      </c>
      <c r="F80" t="str">
        <v>Joy Sari Sari Store: Lakatan</v>
      </c>
      <c r="G80" t="str">
        <v>breakfast</v>
      </c>
    </row>
    <row r="81">
      <c r="B81">
        <v>46129</v>
      </c>
      <c r="C81">
        <v>65</v>
      </c>
      <c r="D81">
        <v>1</v>
      </c>
      <c r="E81">
        <f>C81*D81</f>
        <v>65</v>
      </c>
      <c r="F81" t="str">
        <v>Joy Sari Sari Store: Kamatis</v>
      </c>
      <c r="G81" t="str">
        <v>breakfast</v>
      </c>
    </row>
    <row r="82">
      <c r="B82">
        <v>46129</v>
      </c>
      <c r="C82">
        <v>80</v>
      </c>
      <c r="D82">
        <v>1</v>
      </c>
      <c r="E82">
        <f>C82*D82</f>
        <v>80</v>
      </c>
      <c r="F82" t="str">
        <v>Joy Sari Sari Store: Talong</v>
      </c>
      <c r="G82" t="str">
        <v>breakfast</v>
      </c>
    </row>
    <row r="83">
      <c r="B83">
        <v>46129</v>
      </c>
      <c r="C83">
        <v>572</v>
      </c>
      <c r="D83">
        <v>1</v>
      </c>
      <c r="E83">
        <f>C83*D83</f>
        <v>572</v>
      </c>
      <c r="F83" t="str">
        <v>Joy Sari Sari Store:Bangus</v>
      </c>
      <c r="G83" t="str">
        <v>staff meals</v>
      </c>
    </row>
    <row r="84">
      <c r="B84">
        <v>46129</v>
      </c>
      <c r="C84">
        <v>60</v>
      </c>
      <c r="D84">
        <v>1</v>
      </c>
      <c r="E84">
        <f>C84*D84</f>
        <v>60</v>
      </c>
      <c r="F84" t="str">
        <v>Joy Sari Sari Store:Gulay</v>
      </c>
      <c r="G84" t="str">
        <v>staff meals</v>
      </c>
    </row>
    <row r="85">
      <c r="B85">
        <v>46129</v>
      </c>
      <c r="C85">
        <v>10</v>
      </c>
      <c r="D85">
        <v>1</v>
      </c>
      <c r="E85">
        <f>C85*D85</f>
        <v>10</v>
      </c>
      <c r="F85" t="str">
        <v>Joy Sari Sari Store:Kamatis</v>
      </c>
      <c r="G85" t="str">
        <v>staff meals</v>
      </c>
    </row>
    <row r="86">
      <c r="B86">
        <v>46129</v>
      </c>
      <c r="C86">
        <v>20</v>
      </c>
      <c r="D86">
        <v>1</v>
      </c>
      <c r="E86">
        <f>C86*D86</f>
        <v>20</v>
      </c>
      <c r="F86" t="str">
        <v>Joy Sari Sari Store: Sinigang Mix</v>
      </c>
      <c r="G86" t="str">
        <v>staff meals</v>
      </c>
    </row>
    <row r="87">
      <c r="B87">
        <v>46129</v>
      </c>
      <c r="C87">
        <v>15</v>
      </c>
      <c r="D87">
        <v>1</v>
      </c>
      <c r="E87">
        <f>C87*D87</f>
        <v>15</v>
      </c>
      <c r="F87" t="str">
        <v>Joy Sari Sari Store:Sibuyas</v>
      </c>
      <c r="G87" t="str">
        <v>staff meals</v>
      </c>
    </row>
    <row r="88">
      <c r="B88">
        <v>46130</v>
      </c>
      <c r="C88">
        <v>630</v>
      </c>
      <c r="D88">
        <v>1</v>
      </c>
      <c r="E88">
        <f>C88*D88</f>
        <v>630</v>
      </c>
      <c r="F88" t="str">
        <v>Joy Sari Sari Store:Pork</v>
      </c>
      <c r="G88" t="str">
        <v>staff meals</v>
      </c>
    </row>
    <row r="89">
      <c r="B89">
        <v>46130</v>
      </c>
      <c r="C89">
        <v>70</v>
      </c>
      <c r="D89">
        <v>1</v>
      </c>
      <c r="E89">
        <f>C89*D89</f>
        <v>70</v>
      </c>
      <c r="F89" t="str">
        <v>Joy Sari Sari Store: Gulay</v>
      </c>
      <c r="G89" t="str">
        <v>staff meals</v>
      </c>
    </row>
    <row r="90">
      <c r="B90">
        <v>46131</v>
      </c>
      <c r="C90">
        <v>160</v>
      </c>
      <c r="D90">
        <v>1</v>
      </c>
      <c r="E90">
        <f>C90*D90</f>
        <v>160</v>
      </c>
      <c r="F90" t="str">
        <v>Joy Sari Sari Store: Lakatan</v>
      </c>
      <c r="G90" t="str">
        <v>breakfast</v>
      </c>
    </row>
    <row r="91">
      <c r="B91">
        <v>46131</v>
      </c>
      <c r="C91">
        <f>650/2</f>
        <v>325</v>
      </c>
      <c r="D91">
        <v>2</v>
      </c>
      <c r="E91">
        <f>C91*D91</f>
        <v>650</v>
      </c>
      <c r="F91" t="str">
        <v>Joy Sari Sari Store: Chicken</v>
      </c>
      <c r="G91" t="str">
        <v>staff meals</v>
      </c>
    </row>
    <row r="92">
      <c r="B92">
        <v>46131</v>
      </c>
      <c r="C92">
        <v>15</v>
      </c>
      <c r="D92">
        <v>1</v>
      </c>
      <c r="E92">
        <f>C92*D92</f>
        <v>15</v>
      </c>
      <c r="F92" t="str">
        <v>Joy Sari Sari Store:SIbuyas</v>
      </c>
      <c r="G92" t="str">
        <v>staff meals</v>
      </c>
    </row>
    <row r="93">
      <c r="B93">
        <v>46131</v>
      </c>
      <c r="C93">
        <v>11</v>
      </c>
      <c r="D93">
        <v>1</v>
      </c>
      <c r="E93">
        <f>C93*D93</f>
        <v>11</v>
      </c>
      <c r="F93" t="str">
        <v>Joy Sari Sari Store:Bawang</v>
      </c>
      <c r="G93" t="str">
        <v>staff meals</v>
      </c>
    </row>
    <row r="94">
      <c r="B94">
        <v>46131</v>
      </c>
      <c r="C94">
        <v>6</v>
      </c>
      <c r="D94">
        <v>3</v>
      </c>
      <c r="E94">
        <f>C94*D94</f>
        <v>18</v>
      </c>
      <c r="F94" t="str">
        <v>Joy Sari Sari Store:Magic Sarap</v>
      </c>
      <c r="G94" t="str">
        <v>staff meals</v>
      </c>
    </row>
    <row r="95">
      <c r="B95">
        <v>45770</v>
      </c>
      <c r="C95">
        <v>190</v>
      </c>
      <c r="D95">
        <v>9</v>
      </c>
      <c r="E95">
        <f>C95*D95</f>
        <v>1710</v>
      </c>
      <c r="F95" t="str">
        <v>Puregold: Champion Powder</v>
      </c>
      <c r="G95" t="str">
        <v>laundry</v>
      </c>
      <c r="Z95" t="str">
        <v xml:space="preserve">     </v>
      </c>
    </row>
    <row r="96">
      <c r="B96">
        <v>45770</v>
      </c>
      <c r="C96">
        <v>190</v>
      </c>
      <c r="D96">
        <v>1</v>
      </c>
      <c r="E96">
        <f>C96*D96</f>
        <v>190</v>
      </c>
      <c r="F96" t="str">
        <v>Puregold: Champion CF</v>
      </c>
      <c r="G96" t="str">
        <v>laundry</v>
      </c>
    </row>
    <row r="97">
      <c r="B97">
        <v>45770</v>
      </c>
      <c r="C97">
        <v>144.25</v>
      </c>
      <c r="D97">
        <v>4</v>
      </c>
      <c r="E97">
        <f>C97*D97</f>
        <v>577</v>
      </c>
      <c r="F97" t="str">
        <v>Puregold: zonrox</v>
      </c>
      <c r="G97" t="str">
        <v>laundry</v>
      </c>
    </row>
    <row r="98">
      <c r="B98">
        <v>45770</v>
      </c>
      <c r="C98">
        <v>2160</v>
      </c>
      <c r="D98">
        <v>1</v>
      </c>
      <c r="E98">
        <f>C98*D98</f>
        <v>2160</v>
      </c>
      <c r="F98" t="str">
        <v>Puregold: Oil</v>
      </c>
      <c r="G98" t="str">
        <v>breakfast</v>
      </c>
    </row>
    <row r="99">
      <c r="B99">
        <v>45770</v>
      </c>
      <c r="C99">
        <v>148.25</v>
      </c>
      <c r="D99">
        <v>3</v>
      </c>
      <c r="E99">
        <f>C99*D99</f>
        <v>444.75</v>
      </c>
      <c r="F99" t="str">
        <v>Puregold: Vinegar</v>
      </c>
      <c r="G99" t="str">
        <v>breakfast</v>
      </c>
    </row>
    <row r="100">
      <c r="B100">
        <v>45770</v>
      </c>
      <c r="C100">
        <v>192.25</v>
      </c>
      <c r="D100">
        <v>1</v>
      </c>
      <c r="E100">
        <f>C100*D100</f>
        <v>192.25</v>
      </c>
      <c r="F100" t="str">
        <v>Puregold: toyo</v>
      </c>
      <c r="G100" t="str">
        <v>breakfast</v>
      </c>
      <c r="H100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">
      <c r="B101">
        <v>45770</v>
      </c>
      <c r="C101">
        <v>380.75</v>
      </c>
      <c r="D101">
        <v>1</v>
      </c>
      <c r="E101">
        <f>C101*D101</f>
        <v>380.75</v>
      </c>
      <c r="F101" t="str">
        <v>Puregold: Mamasitas</v>
      </c>
      <c r="G101" t="str">
        <v>breakfast</v>
      </c>
    </row>
    <row r="102">
      <c r="B102">
        <v>45770</v>
      </c>
      <c r="C102">
        <v>304.5</v>
      </c>
      <c r="D102">
        <v>1</v>
      </c>
      <c r="E102">
        <f>C102*D102</f>
        <v>304.5</v>
      </c>
      <c r="F102" t="str">
        <v>Puregold: Knor Seasoning</v>
      </c>
      <c r="G102" t="str">
        <v>breakfast</v>
      </c>
    </row>
    <row r="103">
      <c r="B103">
        <v>45770</v>
      </c>
      <c r="C103">
        <v>71.75</v>
      </c>
      <c r="D103">
        <v>2</v>
      </c>
      <c r="E103">
        <f>C103*D103</f>
        <v>143.5</v>
      </c>
      <c r="F103" t="str">
        <v>Puregold: Patis</v>
      </c>
      <c r="G103" t="str">
        <v>breakfast</v>
      </c>
    </row>
    <row r="104">
      <c r="B104">
        <v>45770</v>
      </c>
      <c r="C104">
        <v>26</v>
      </c>
      <c r="D104">
        <v>4</v>
      </c>
      <c r="E104">
        <f>C104*D104</f>
        <v>104</v>
      </c>
      <c r="F104" t="str">
        <v>Puregold: UFC</v>
      </c>
      <c r="G104" t="str">
        <v>breakfast</v>
      </c>
    </row>
    <row r="105">
      <c r="B105">
        <v>45770</v>
      </c>
      <c r="C105">
        <v>50.5</v>
      </c>
      <c r="D105">
        <v>2</v>
      </c>
      <c r="E105">
        <f>C105*D105</f>
        <v>101</v>
      </c>
      <c r="F105" t="str">
        <v>Puregold: Dm Sweet</v>
      </c>
      <c r="G105" t="str">
        <v>breakfast</v>
      </c>
    </row>
    <row r="106">
      <c r="B106">
        <v>45770</v>
      </c>
      <c r="C106">
        <v>47.25</v>
      </c>
      <c r="D106">
        <v>1</v>
      </c>
      <c r="E106">
        <f>C106*D106</f>
        <v>47.25</v>
      </c>
      <c r="F106" t="str">
        <v>Puregold: Ketchup</v>
      </c>
      <c r="G106" t="str">
        <v>breakfast</v>
      </c>
    </row>
    <row r="107">
      <c r="B107">
        <v>45770</v>
      </c>
      <c r="C107">
        <v>137.15</v>
      </c>
      <c r="D107">
        <v>1</v>
      </c>
      <c r="E107">
        <f>C107*D107</f>
        <v>137.15</v>
      </c>
      <c r="F107" t="str">
        <v>Puregold: Strawberry</v>
      </c>
      <c r="G107" t="str">
        <v>breakfast</v>
      </c>
    </row>
    <row r="108">
      <c r="B108">
        <v>45770</v>
      </c>
      <c r="C108">
        <v>190</v>
      </c>
      <c r="D108">
        <v>5</v>
      </c>
      <c r="E108">
        <f>C108*D108</f>
        <v>950</v>
      </c>
      <c r="F108" t="str">
        <v>Puregold: Milo</v>
      </c>
      <c r="G108" t="str">
        <v>breakfast</v>
      </c>
    </row>
    <row r="109">
      <c r="B109">
        <v>45770</v>
      </c>
      <c r="C109">
        <v>118.25</v>
      </c>
      <c r="D109">
        <v>5</v>
      </c>
      <c r="E109">
        <f>C109*D109</f>
        <v>591.25</v>
      </c>
      <c r="F109" t="str">
        <v>Puregold: Coffee mate</v>
      </c>
      <c r="G109" t="str">
        <v>coffee</v>
      </c>
    </row>
    <row r="110">
      <c r="B110">
        <v>45770</v>
      </c>
      <c r="C110">
        <v>80</v>
      </c>
      <c r="D110">
        <v>4</v>
      </c>
      <c r="E110">
        <f>C110*D110</f>
        <v>320</v>
      </c>
      <c r="F110" t="str">
        <v>Puregold: Pancake</v>
      </c>
      <c r="G110" t="str">
        <v>breakfast</v>
      </c>
    </row>
    <row r="111">
      <c r="B111">
        <v>45770</v>
      </c>
      <c r="C111">
        <v>76</v>
      </c>
      <c r="D111">
        <v>5</v>
      </c>
      <c r="E111">
        <f>C111*D111</f>
        <v>380</v>
      </c>
      <c r="F111" t="str">
        <v>Puregold: Sugar</v>
      </c>
      <c r="G111" t="str">
        <v>breakfast</v>
      </c>
    </row>
    <row r="112">
      <c r="B112">
        <v>45770</v>
      </c>
      <c r="C112">
        <v>408.4</v>
      </c>
      <c r="D112">
        <v>1</v>
      </c>
      <c r="E112">
        <f>C112*D112</f>
        <v>408.4</v>
      </c>
      <c r="F112" t="str">
        <v>Puregold: All purpose</v>
      </c>
      <c r="G112" t="str">
        <v>breakfast</v>
      </c>
    </row>
    <row r="113">
      <c r="B113">
        <v>45770</v>
      </c>
      <c r="C113">
        <v>95.5</v>
      </c>
      <c r="D113">
        <v>1</v>
      </c>
      <c r="E113">
        <f>C113*D113</f>
        <v>95.5</v>
      </c>
      <c r="F113" t="str">
        <v>Puregold: Eveready bat</v>
      </c>
      <c r="G113" t="str">
        <v>breakfast</v>
      </c>
    </row>
    <row r="114">
      <c r="B114">
        <v>45770</v>
      </c>
      <c r="C114">
        <v>195.7</v>
      </c>
      <c r="D114">
        <v>1</v>
      </c>
      <c r="E114">
        <f>C114*D114</f>
        <v>195.7</v>
      </c>
      <c r="F114" t="str">
        <v>Puregold: Milk</v>
      </c>
      <c r="G114" t="str">
        <v>breakfast</v>
      </c>
    </row>
    <row r="115">
      <c r="B115">
        <v>45770</v>
      </c>
      <c r="C115">
        <v>101.35</v>
      </c>
      <c r="D115">
        <v>4</v>
      </c>
      <c r="E115">
        <f>C115*D115</f>
        <v>405.4</v>
      </c>
      <c r="F115" t="str">
        <v>Puregold: Milk</v>
      </c>
      <c r="G115" t="str">
        <v>breakfast</v>
      </c>
    </row>
    <row r="116">
      <c r="B116">
        <v>45770</v>
      </c>
      <c r="C116">
        <v>19.3</v>
      </c>
      <c r="D116">
        <v>2</v>
      </c>
      <c r="E116">
        <f>C116*D116</f>
        <v>38.6</v>
      </c>
      <c r="F116" t="str">
        <v>Puregold: Tang juice</v>
      </c>
      <c r="G116" t="str">
        <v>breakfast</v>
      </c>
    </row>
    <row r="117">
      <c r="B117">
        <v>45770</v>
      </c>
      <c r="C117">
        <v>22.5</v>
      </c>
      <c r="D117">
        <v>12</v>
      </c>
      <c r="E117">
        <f>C117*D117</f>
        <v>270</v>
      </c>
      <c r="F117" t="str">
        <v>Puregold: Nestea Lemon</v>
      </c>
      <c r="G117" t="str">
        <v>breakfast</v>
      </c>
    </row>
    <row r="118">
      <c r="B118">
        <v>45770</v>
      </c>
      <c r="C118">
        <v>18.9</v>
      </c>
      <c r="D118">
        <v>12</v>
      </c>
      <c r="E118">
        <f>C118*D118</f>
        <v>226.8</v>
      </c>
      <c r="F118" t="str">
        <v>Puregold: Nestea apple</v>
      </c>
      <c r="G118" t="str">
        <v>breakfast</v>
      </c>
    </row>
    <row r="119">
      <c r="B119">
        <v>45770</v>
      </c>
      <c r="C119">
        <v>14.9</v>
      </c>
      <c r="D119">
        <v>12</v>
      </c>
      <c r="E119">
        <f>C119*D119</f>
        <v>178.8</v>
      </c>
      <c r="F119" t="str">
        <v>Puregold: Knor gabi</v>
      </c>
      <c r="G119" t="str">
        <v>breakfast</v>
      </c>
    </row>
    <row r="120">
      <c r="B120">
        <v>45770</v>
      </c>
      <c r="C120">
        <v>36</v>
      </c>
      <c r="D120">
        <v>3</v>
      </c>
      <c r="E120">
        <f>C120*D120</f>
        <v>108</v>
      </c>
      <c r="F120" t="str">
        <v>Puregold: Knor chicken</v>
      </c>
      <c r="G120" t="str">
        <v>breakfast</v>
      </c>
    </row>
    <row r="121">
      <c r="B121">
        <v>45770</v>
      </c>
      <c r="C121">
        <v>36.5</v>
      </c>
      <c r="D121">
        <v>2</v>
      </c>
      <c r="E121">
        <f>C121*D121</f>
        <v>73</v>
      </c>
      <c r="F121" t="str">
        <v>Puregold: Knor shrimp</v>
      </c>
      <c r="G121" t="str">
        <v>breakfast</v>
      </c>
    </row>
    <row r="122">
      <c r="B122">
        <v>45770</v>
      </c>
      <c r="C122">
        <v>36.5</v>
      </c>
      <c r="D122">
        <v>2</v>
      </c>
      <c r="E122">
        <f>C122*D122</f>
        <v>73</v>
      </c>
      <c r="F122" t="str">
        <v>Puregold: Knor pork</v>
      </c>
      <c r="G122" t="str">
        <v>breakfast</v>
      </c>
    </row>
    <row r="123">
      <c r="B123">
        <v>45770</v>
      </c>
      <c r="C123">
        <v>36.5</v>
      </c>
      <c r="D123">
        <v>1</v>
      </c>
      <c r="E123">
        <f>C123*D123</f>
        <v>36.5</v>
      </c>
      <c r="F123" t="str">
        <v>Puregold: Knor beef</v>
      </c>
      <c r="G123" t="str">
        <v>breakfast</v>
      </c>
    </row>
    <row r="124">
      <c r="B124">
        <v>45770</v>
      </c>
      <c r="C124">
        <v>198</v>
      </c>
      <c r="D124">
        <v>3</v>
      </c>
      <c r="E124">
        <f>C124*D124</f>
        <v>594</v>
      </c>
      <c r="F124" t="str">
        <v>Puregold: Tender juicy hotdog</v>
      </c>
      <c r="G124" t="str">
        <v>breakfast</v>
      </c>
    </row>
    <row r="125">
      <c r="B125">
        <v>45770</v>
      </c>
      <c r="C125">
        <v>59</v>
      </c>
      <c r="D125">
        <v>2</v>
      </c>
      <c r="E125">
        <f>C125*D125</f>
        <v>118</v>
      </c>
      <c r="F125" t="str">
        <v>Puregold: Dari milk</v>
      </c>
      <c r="G125" t="str">
        <v>breakfast</v>
      </c>
    </row>
    <row r="126">
      <c r="B126">
        <v>45770</v>
      </c>
      <c r="C126">
        <v>92</v>
      </c>
      <c r="D126">
        <v>6</v>
      </c>
      <c r="E126">
        <f>C126*D126</f>
        <v>552</v>
      </c>
      <c r="F126" t="str">
        <v>Puregold: Magnola butter</v>
      </c>
      <c r="G126" t="str">
        <v>breakfast</v>
      </c>
    </row>
    <row r="127">
      <c r="B127">
        <v>45770</v>
      </c>
      <c r="C127">
        <v>100</v>
      </c>
      <c r="D127">
        <v>10</v>
      </c>
      <c r="E127">
        <f>C127*D127</f>
        <v>1000</v>
      </c>
      <c r="F127" t="str">
        <v>Palengke: Luncheon meat</v>
      </c>
      <c r="G127" t="str">
        <v>breakfast</v>
      </c>
    </row>
    <row r="128">
      <c r="B128">
        <v>45770</v>
      </c>
      <c r="C128">
        <v>400</v>
      </c>
      <c r="D128">
        <v>4</v>
      </c>
      <c r="E128">
        <f>C128*D128</f>
        <v>1600</v>
      </c>
      <c r="F128" t="str">
        <v>Palengke:Tinapa gg</v>
      </c>
      <c r="G128" t="str">
        <v>breakfast</v>
      </c>
    </row>
    <row r="129">
      <c r="B129">
        <v>45770</v>
      </c>
      <c r="C129">
        <v>240</v>
      </c>
      <c r="D129">
        <v>4</v>
      </c>
      <c r="E129">
        <f>C129*D129</f>
        <v>960</v>
      </c>
      <c r="F129" t="str">
        <v>Palengke:Tinapa Kapak</v>
      </c>
      <c r="G129" t="str">
        <v>breakfast</v>
      </c>
    </row>
    <row r="130">
      <c r="B130">
        <v>45770</v>
      </c>
      <c r="C130">
        <v>320</v>
      </c>
      <c r="D130">
        <v>1</v>
      </c>
      <c r="E130">
        <f>C130*D130</f>
        <v>320</v>
      </c>
      <c r="F130" t="str">
        <v>Palengke:Tinapa Tuyo</v>
      </c>
      <c r="G130" t="str">
        <v>breakfast</v>
      </c>
    </row>
    <row r="131">
      <c r="B131">
        <v>45770</v>
      </c>
      <c r="C131">
        <v>580</v>
      </c>
      <c r="D131">
        <v>1</v>
      </c>
      <c r="E131">
        <v>580</v>
      </c>
      <c r="F131" t="str">
        <v>Palengke:Tinapang salinas</v>
      </c>
      <c r="G131" t="str">
        <v>breakfast</v>
      </c>
    </row>
    <row r="132">
      <c r="B132">
        <v>45770</v>
      </c>
      <c r="C132">
        <v>350</v>
      </c>
      <c r="D132">
        <v>1</v>
      </c>
      <c r="E132">
        <f>C132*D132</f>
        <v>350</v>
      </c>
      <c r="F132" t="str">
        <v>Dionys Pandesal</v>
      </c>
      <c r="G132" t="str">
        <v>breakfast</v>
      </c>
    </row>
    <row r="133">
      <c r="B133">
        <v>45770</v>
      </c>
      <c r="C133">
        <v>1250</v>
      </c>
      <c r="D133">
        <v>5</v>
      </c>
      <c r="E133">
        <f>C133*D133</f>
        <v>6250</v>
      </c>
      <c r="F133" t="str">
        <v>Palengke:Rice</v>
      </c>
      <c r="G133" t="str">
        <v>breakfast</v>
      </c>
    </row>
    <row r="134">
      <c r="B134">
        <v>45770</v>
      </c>
      <c r="C134">
        <v>400</v>
      </c>
      <c r="D134">
        <v>1</v>
      </c>
      <c r="E134">
        <f>C134*D134</f>
        <v>400</v>
      </c>
      <c r="F134" t="str">
        <v>Palengke:Banana</v>
      </c>
      <c r="G134" t="str">
        <v>breakfast</v>
      </c>
    </row>
    <row r="135">
      <c r="B135">
        <v>45770</v>
      </c>
      <c r="C135">
        <v>1704</v>
      </c>
      <c r="D135">
        <v>1</v>
      </c>
      <c r="E135">
        <f>C135*D135</f>
        <v>1704</v>
      </c>
      <c r="F135" t="str">
        <v>Palengke: Lunch/ dinner vegtables</v>
      </c>
      <c r="G135" t="str">
        <v>lunch/dinner</v>
      </c>
    </row>
    <row r="136">
      <c r="B136">
        <v>45770</v>
      </c>
      <c r="C136">
        <v>500</v>
      </c>
      <c r="D136">
        <v>2</v>
      </c>
      <c r="E136">
        <f>C136*D136</f>
        <v>1000</v>
      </c>
      <c r="F136" t="str">
        <v>Palengke:Pusit</v>
      </c>
      <c r="G136" t="str">
        <v>lunch/dinner</v>
      </c>
    </row>
    <row r="137">
      <c r="B137">
        <v>45770</v>
      </c>
      <c r="C137">
        <v>995</v>
      </c>
      <c r="D137">
        <v>1</v>
      </c>
      <c r="E137">
        <f>C137*D137</f>
        <v>995</v>
      </c>
      <c r="F137" t="str">
        <v>Palengke:Fabcon</v>
      </c>
      <c r="G137" t="str">
        <v>laundry</v>
      </c>
    </row>
    <row r="138">
      <c r="B138">
        <v>45770</v>
      </c>
      <c r="C138">
        <v>250</v>
      </c>
      <c r="D138">
        <v>1</v>
      </c>
      <c r="E138">
        <f>C138*D138</f>
        <v>250</v>
      </c>
      <c r="F138" t="str">
        <v>Palengke:Canton</v>
      </c>
      <c r="G138" t="str">
        <v>lunch/dinner</v>
      </c>
    </row>
    <row r="139">
      <c r="B139">
        <v>45770</v>
      </c>
      <c r="C139">
        <v>290</v>
      </c>
      <c r="D139">
        <v>1</v>
      </c>
      <c r="E139">
        <f>C139*D139</f>
        <v>290</v>
      </c>
      <c r="F139" t="str">
        <v>Palengke:Lemonade</v>
      </c>
      <c r="G139" t="str">
        <v>lunch/dinner</v>
      </c>
    </row>
    <row r="140">
      <c r="B140">
        <v>45770</v>
      </c>
      <c r="C140">
        <v>320</v>
      </c>
      <c r="D140">
        <v>1</v>
      </c>
      <c r="E140">
        <f>C140*D140</f>
        <v>320</v>
      </c>
      <c r="F140" t="str">
        <v>Palengke:Cucumber</v>
      </c>
      <c r="G140" t="str">
        <v>lunch/dinner</v>
      </c>
    </row>
    <row r="141">
      <c r="B141">
        <v>45770</v>
      </c>
      <c r="C141">
        <v>350</v>
      </c>
      <c r="D141">
        <v>1</v>
      </c>
      <c r="E141">
        <f>C141*D141</f>
        <v>350</v>
      </c>
      <c r="F141" t="str">
        <v>Palengke: Roll bag/paminta</v>
      </c>
      <c r="G141" t="str">
        <v>lunch/dinner</v>
      </c>
    </row>
    <row r="142">
      <c r="B142">
        <v>45770</v>
      </c>
      <c r="C142">
        <v>772</v>
      </c>
      <c r="D142">
        <v>1</v>
      </c>
      <c r="E142">
        <f>C142*D142</f>
        <v>772</v>
      </c>
      <c r="F142" t="str">
        <v>Palengke:breakfast veggies</v>
      </c>
      <c r="G142" t="str">
        <v>breakfast</v>
      </c>
    </row>
    <row r="143">
      <c r="B143">
        <v>45770</v>
      </c>
      <c r="C143">
        <v>1000</v>
      </c>
      <c r="D143">
        <v>1</v>
      </c>
      <c r="E143">
        <f>C143*D143</f>
        <v>1000</v>
      </c>
      <c r="F143" t="str">
        <v>Palengke:Transpo</v>
      </c>
      <c r="G143" t="str">
        <v>transpo</v>
      </c>
    </row>
    <row r="144">
      <c r="B144">
        <v>45772</v>
      </c>
      <c r="C144">
        <v>230</v>
      </c>
      <c r="D144">
        <v>3</v>
      </c>
      <c r="E144">
        <f>C144*D144</f>
        <v>690</v>
      </c>
      <c r="F144" t="str">
        <v>Irene Medina: Egg</v>
      </c>
      <c r="G144" t="str">
        <v>breakfast</v>
      </c>
    </row>
    <row r="145">
      <c r="B145">
        <v>45773</v>
      </c>
      <c r="C145">
        <f>450/3</f>
        <v>150</v>
      </c>
      <c r="D145">
        <v>3</v>
      </c>
      <c r="E145">
        <f>C145*D145</f>
        <v>450</v>
      </c>
      <c r="F145" t="str">
        <v>Joy Sari Sari Store: Tilapia</v>
      </c>
      <c r="G145" t="str">
        <v>staff meals</v>
      </c>
    </row>
    <row r="146">
      <c r="B146">
        <v>45773</v>
      </c>
      <c r="C146">
        <v>75</v>
      </c>
      <c r="D146">
        <v>1</v>
      </c>
      <c r="E146">
        <f>C146*D146</f>
        <v>75</v>
      </c>
      <c r="F146" t="str">
        <v>Joy Sari Sari Store:Mongo</v>
      </c>
      <c r="G146" t="str">
        <v>staff meals</v>
      </c>
    </row>
    <row r="147">
      <c r="B147">
        <v>45773</v>
      </c>
      <c r="C147">
        <v>12</v>
      </c>
      <c r="D147">
        <v>1</v>
      </c>
      <c r="E147">
        <f>C147*D147</f>
        <v>12</v>
      </c>
      <c r="F147" t="str">
        <v>Joy Sari Sari Store:Magic Sarap</v>
      </c>
      <c r="G147" t="str">
        <v>staff meals</v>
      </c>
    </row>
    <row r="148">
      <c r="B148">
        <v>45773</v>
      </c>
      <c r="C148">
        <v>25</v>
      </c>
      <c r="D148">
        <v>1</v>
      </c>
      <c r="E148">
        <f>C148*D148</f>
        <v>25</v>
      </c>
      <c r="F148" t="str">
        <v>Joy Sari Sari Store:SIbuyas</v>
      </c>
      <c r="G148" t="str">
        <v>staff meals</v>
      </c>
    </row>
    <row r="149">
      <c r="B149">
        <v>45773</v>
      </c>
      <c r="C149">
        <v>105</v>
      </c>
      <c r="D149">
        <v>1</v>
      </c>
      <c r="E149">
        <f>C149*D149</f>
        <v>105</v>
      </c>
      <c r="F149" t="str">
        <v>Joy Sari Sari Store:Chicharon</v>
      </c>
      <c r="G149" t="str">
        <v>staff meals</v>
      </c>
    </row>
    <row r="150">
      <c r="B150">
        <v>45773</v>
      </c>
      <c r="C150">
        <v>30</v>
      </c>
      <c r="D150">
        <v>1</v>
      </c>
      <c r="E150">
        <f>C150*D150</f>
        <v>30</v>
      </c>
      <c r="F150" t="str">
        <v>Joy Sari Sari Store:Sotanghon</v>
      </c>
      <c r="G150" t="str">
        <v>staff meals</v>
      </c>
    </row>
    <row r="151">
      <c r="B151">
        <v>45773</v>
      </c>
      <c r="C151">
        <v>140</v>
      </c>
      <c r="D151">
        <v>1</v>
      </c>
      <c r="E151">
        <f>C151*D151</f>
        <v>140</v>
      </c>
      <c r="F151" t="str">
        <v>Joy Sari Sari Store:Okra</v>
      </c>
      <c r="G151" t="str">
        <v>breakfast</v>
      </c>
    </row>
    <row r="152">
      <c r="B152">
        <v>45773</v>
      </c>
      <c r="C152">
        <v>100</v>
      </c>
      <c r="D152">
        <v>1</v>
      </c>
      <c r="E152">
        <f>C152*D152</f>
        <v>100</v>
      </c>
      <c r="F152" t="str">
        <v>Joy Sari Sari Store:Ampalaya</v>
      </c>
      <c r="G152" t="str">
        <v>breakfast</v>
      </c>
    </row>
    <row r="153">
      <c r="B153">
        <v>45773</v>
      </c>
      <c r="C153">
        <v>385</v>
      </c>
      <c r="D153">
        <v>1</v>
      </c>
      <c r="E153">
        <f>C153*D153</f>
        <v>385</v>
      </c>
      <c r="F153" t="str">
        <v>Joy Sari Sari Store:Lakatan</v>
      </c>
      <c r="G153" t="str">
        <v>breakfast</v>
      </c>
    </row>
    <row r="154">
      <c r="B154">
        <v>45774</v>
      </c>
      <c r="C154">
        <v>350</v>
      </c>
      <c r="D154">
        <v>1</v>
      </c>
      <c r="E154">
        <f>C154*D154</f>
        <v>350</v>
      </c>
      <c r="F154" t="str">
        <v>Bataan Gas</v>
      </c>
      <c r="G154" t="str">
        <v>kitchen</v>
      </c>
    </row>
    <row r="155">
      <c r="B155">
        <v>45774</v>
      </c>
      <c r="C155">
        <v>700</v>
      </c>
      <c r="D155">
        <v>1</v>
      </c>
      <c r="E155">
        <f>C155*D155</f>
        <v>700</v>
      </c>
      <c r="F155" t="str">
        <v>Joy Sari Sari Store: Pork</v>
      </c>
      <c r="G155" t="str">
        <v>staff meals</v>
      </c>
    </row>
    <row r="156">
      <c r="B156">
        <v>45774</v>
      </c>
      <c r="C156">
        <v>3750</v>
      </c>
      <c r="D156">
        <v>1</v>
      </c>
      <c r="E156">
        <f>C156*D156</f>
        <v>3750</v>
      </c>
      <c r="F156" t="str">
        <v>Hose for garden</v>
      </c>
      <c r="G156" t="str">
        <v>garden</v>
      </c>
    </row>
    <row r="157">
      <c r="B157">
        <v>45774</v>
      </c>
      <c r="C157">
        <v>600</v>
      </c>
      <c r="D157">
        <v>1</v>
      </c>
      <c r="E157">
        <f>C157*D157</f>
        <v>600</v>
      </c>
      <c r="F157" t="str">
        <v xml:space="preserve">Transpo </v>
      </c>
      <c r="G157" t="str">
        <v>transpo</v>
      </c>
    </row>
    <row r="158">
      <c r="B158">
        <v>45774</v>
      </c>
      <c r="C158">
        <v>150</v>
      </c>
      <c r="D158">
        <v>1</v>
      </c>
      <c r="E158">
        <f>C158*D158</f>
        <v>150</v>
      </c>
      <c r="F158" t="str">
        <v>Shopee: Sprinkler</v>
      </c>
      <c r="G158" t="str">
        <v>garden</v>
      </c>
    </row>
    <row r="159">
      <c r="B159">
        <v>45776</v>
      </c>
      <c r="C159">
        <v>220</v>
      </c>
      <c r="D159">
        <v>5</v>
      </c>
      <c r="E159">
        <f>C159*D159</f>
        <v>1100</v>
      </c>
      <c r="F159" t="str">
        <v>Irene Medina: Egg</v>
      </c>
      <c r="G159" t="str">
        <v>breakfast</v>
      </c>
    </row>
    <row r="160">
      <c r="B160">
        <v>45776</v>
      </c>
      <c r="C160">
        <v>55</v>
      </c>
      <c r="D160">
        <v>1</v>
      </c>
      <c r="E160">
        <f>C160*D160</f>
        <v>55</v>
      </c>
      <c r="F160" t="str">
        <v>Joy Sari Sari Store:Kamatis</v>
      </c>
      <c r="G160" t="str">
        <v>breakfast</v>
      </c>
    </row>
    <row r="161">
      <c r="B161">
        <v>45776</v>
      </c>
      <c r="C161">
        <v>140</v>
      </c>
      <c r="D161">
        <v>1</v>
      </c>
      <c r="E161">
        <f>C161*D161</f>
        <v>140</v>
      </c>
      <c r="F161" t="str">
        <v>Joy Sari Sari Store:Okra</v>
      </c>
      <c r="G161" t="str">
        <v>breakfast</v>
      </c>
    </row>
    <row r="162">
      <c r="B162">
        <v>45776</v>
      </c>
      <c r="C162">
        <v>60</v>
      </c>
      <c r="D162">
        <v>1</v>
      </c>
      <c r="E162">
        <f>C162*D162</f>
        <v>60</v>
      </c>
      <c r="F162" t="str">
        <v>Joy Sari Sari Store:Talong</v>
      </c>
      <c r="G162" t="str">
        <v>breakfast</v>
      </c>
    </row>
    <row r="163">
      <c r="B163">
        <v>45776</v>
      </c>
      <c r="C163">
        <v>90</v>
      </c>
      <c r="D163">
        <v>1</v>
      </c>
      <c r="E163">
        <f>C163*D163</f>
        <v>90</v>
      </c>
      <c r="F163" t="str">
        <v>Joy Sari Sari Store:Kiat kiat</v>
      </c>
      <c r="G163" t="str">
        <v>breakfast</v>
      </c>
    </row>
    <row r="164">
      <c r="B164">
        <v>45776</v>
      </c>
      <c r="C164">
        <v>500</v>
      </c>
      <c r="D164">
        <v>1</v>
      </c>
      <c r="E164">
        <f>C164*D164</f>
        <v>500</v>
      </c>
      <c r="F164" t="str">
        <v>Dionys Pandesal</v>
      </c>
      <c r="G164" t="str">
        <v>breakfast</v>
      </c>
    </row>
    <row r="165">
      <c r="B165">
        <v>45777</v>
      </c>
      <c r="C165">
        <v>45</v>
      </c>
      <c r="D165">
        <v>41</v>
      </c>
      <c r="E165">
        <f>C165*D165</f>
        <v>1845</v>
      </c>
      <c r="F165" t="str">
        <v>Beperas: Water</v>
      </c>
      <c r="G165" t="str">
        <v>water</v>
      </c>
    </row>
    <row r="166">
      <c r="B166">
        <v>45777</v>
      </c>
      <c r="C166">
        <v>50</v>
      </c>
      <c r="D166">
        <v>2</v>
      </c>
      <c r="E166">
        <f>C166*D166</f>
        <v>100</v>
      </c>
      <c r="F166" t="str">
        <v>Joy Sari Sari Store:Kamatis</v>
      </c>
      <c r="G166" t="str">
        <v>breakfast</v>
      </c>
    </row>
    <row r="167">
      <c r="B167">
        <v>45777</v>
      </c>
      <c r="C167">
        <v>105</v>
      </c>
      <c r="D167">
        <v>2</v>
      </c>
      <c r="E167">
        <f>C167*D167</f>
        <v>210</v>
      </c>
      <c r="F167" t="str">
        <v>Joy Sari Sari Store:Okra</v>
      </c>
      <c r="G167" t="str">
        <v>breakfast</v>
      </c>
    </row>
    <row r="168">
      <c r="B168">
        <v>45777</v>
      </c>
      <c r="C168">
        <v>130</v>
      </c>
      <c r="D168">
        <v>1</v>
      </c>
      <c r="E168">
        <f>C168*D168</f>
        <v>130</v>
      </c>
      <c r="F168" t="str">
        <v>Joy Sari Sari Store:Talong</v>
      </c>
      <c r="G168" t="str">
        <v>breakfast</v>
      </c>
    </row>
    <row r="169">
      <c r="B169">
        <v>45777</v>
      </c>
      <c r="C169">
        <v>130</v>
      </c>
      <c r="D169">
        <v>1</v>
      </c>
      <c r="E169">
        <f>C169*D169</f>
        <v>130</v>
      </c>
      <c r="F169" t="str">
        <v>Joy Sari Sari Store:Ampalaya</v>
      </c>
      <c r="G169" t="str">
        <v>breakfast</v>
      </c>
    </row>
    <row r="170">
      <c r="B170">
        <v>45777</v>
      </c>
      <c r="C170">
        <f>920/3</f>
        <v>306.6666667</v>
      </c>
      <c r="D170">
        <v>3</v>
      </c>
      <c r="E170">
        <f>C170*D170</f>
        <v>920</v>
      </c>
      <c r="F170" t="str">
        <v>Joy Sari Sari Store:Pakwan</v>
      </c>
      <c r="G170" t="str">
        <v>breakfast</v>
      </c>
    </row>
    <row r="171">
      <c r="B171">
        <v>45777</v>
      </c>
      <c r="C171">
        <v>500</v>
      </c>
      <c r="D171">
        <v>1</v>
      </c>
      <c r="E171">
        <f>C171*D171</f>
        <v>500</v>
      </c>
      <c r="F171" t="str">
        <v>Shopee: Hot and cold</v>
      </c>
      <c r="G171" t="str">
        <v>repair</v>
      </c>
    </row>
    <row r="172">
      <c r="B172">
        <v>45777</v>
      </c>
      <c r="C172">
        <v>1490</v>
      </c>
      <c r="D172">
        <v>1</v>
      </c>
      <c r="E172">
        <f>C172*D172</f>
        <v>1490</v>
      </c>
      <c r="F172" t="str">
        <v>Shopee: Diswashing liquid</v>
      </c>
      <c r="G172" t="str">
        <v>kitchen</v>
      </c>
    </row>
    <row r="173">
      <c r="B173">
        <v>45777</v>
      </c>
      <c r="C173">
        <v>65220</v>
      </c>
      <c r="D173">
        <v>1</v>
      </c>
      <c r="E173">
        <f>C173*D173</f>
        <v>65220</v>
      </c>
      <c r="F173" t="str">
        <v>Penelco</v>
      </c>
      <c r="G173" t="str">
        <v>electricity</v>
      </c>
    </row>
    <row r="174">
      <c r="B174">
        <v>46142</v>
      </c>
      <c r="C174">
        <v>3800</v>
      </c>
      <c r="D174">
        <v>1</v>
      </c>
      <c r="E174">
        <f>C174*D174</f>
        <v>3800</v>
      </c>
      <c r="F174" t="str">
        <v>Starlink</v>
      </c>
      <c r="G174" t="str">
        <v>internet</v>
      </c>
    </row>
    <row r="175">
      <c r="E175">
        <f>C175*D175</f>
        <v>0</v>
      </c>
    </row>
    <row r="176">
      <c r="E176">
        <f>C176*D176</f>
        <v>0</v>
      </c>
    </row>
    <row r="177">
      <c r="E177">
        <f>C177*D177</f>
        <v>0</v>
      </c>
    </row>
    <row r="178">
      <c r="E178">
        <f>C178*D178</f>
        <v>0</v>
      </c>
    </row>
    <row r="179">
      <c r="E179">
        <f>C179*D179</f>
        <v>0</v>
      </c>
    </row>
    <row r="180">
      <c r="E180">
        <f>C180*D180</f>
        <v>0</v>
      </c>
    </row>
    <row r="181">
      <c r="E181">
        <f>C181*D181</f>
        <v>0</v>
      </c>
    </row>
    <row r="182">
      <c r="E182">
        <f>C182*D182</f>
        <v>0</v>
      </c>
    </row>
    <row r="183">
      <c r="E183">
        <f>C183*D183</f>
        <v>0</v>
      </c>
    </row>
    <row r="184">
      <c r="E184">
        <f>C184*D184</f>
        <v>0</v>
      </c>
    </row>
    <row r="185">
      <c r="E185">
        <f>C185*D185</f>
        <v>0</v>
      </c>
    </row>
    <row r="186">
      <c r="E186">
        <f>C186*D186</f>
        <v>0</v>
      </c>
    </row>
    <row r="187">
      <c r="E187">
        <f>C187*D187</f>
        <v>0</v>
      </c>
    </row>
    <row r="188">
      <c r="E188">
        <f>C188*D188</f>
        <v>0</v>
      </c>
    </row>
    <row r="189">
      <c r="E189">
        <f>C189*D189</f>
        <v>0</v>
      </c>
    </row>
    <row r="190">
      <c r="E190">
        <f>C190*D190</f>
        <v>0</v>
      </c>
    </row>
    <row r="191">
      <c r="E191">
        <f>C191*D191</f>
        <v>0</v>
      </c>
    </row>
    <row r="192">
      <c r="E192">
        <f>C192*D192</f>
        <v>0</v>
      </c>
    </row>
    <row r="193">
      <c r="E193">
        <f>C193*D193</f>
        <v>0</v>
      </c>
    </row>
    <row r="194">
      <c r="E194">
        <f>C194*D194</f>
        <v>0</v>
      </c>
    </row>
  </sheetData>
  <pageMargins left="0.7" right="0.7" top="0.75" bottom="0.75" header="0" footer="0"/>
  <ignoredErrors>
    <ignoredError numberStoredAsText="1" sqref="A1:Z12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18"/>
  <sheetViews>
    <sheetView workbookViewId="0" rightToLeft="0"/>
  </sheetViews>
  <sheetData>
    <row r="1">
      <c r="A1" t="str">
        <v xml:space="preserve">    </v>
      </c>
    </row>
    <row r="2">
      <c r="E2">
        <f>SUM(E4:E1078)</f>
        <v>95421.6</v>
      </c>
      <c r="K2">
        <f>SUM(K4:K31)</f>
        <v>95421.6</v>
      </c>
    </row>
    <row r="3">
      <c r="B3" t="str">
        <v>date</v>
      </c>
      <c r="C3" t="str">
        <v>unit price</v>
      </c>
      <c r="D3" t="str">
        <v>qtty</v>
      </c>
      <c r="E3" t="str">
        <v>total</v>
      </c>
      <c r="H3" t="str">
        <v>anomalies</v>
      </c>
      <c r="I3" t="str">
        <v xml:space="preserve">   </v>
      </c>
      <c r="J3" t="str">
        <v>category</v>
      </c>
      <c r="K3" t="str">
        <v>amount</v>
      </c>
      <c r="M3" t="str">
        <v>ave daily</v>
      </c>
    </row>
    <row r="4">
      <c r="B4">
        <v>46143</v>
      </c>
      <c r="C4">
        <v>255</v>
      </c>
      <c r="D4">
        <v>1</v>
      </c>
      <c r="E4">
        <f>C4*D4</f>
        <v>255</v>
      </c>
      <c r="F4" t="str">
        <v>Joy Sari Sari Store: ubas</v>
      </c>
      <c r="G4" t="str">
        <v>Breakfast</v>
      </c>
      <c r="I4">
        <v>1</v>
      </c>
      <c r="J4" t="str">
        <v>admin</v>
      </c>
      <c r="K4">
        <f>SUMIF($G:G,J4,$E:E)</f>
        <v>0</v>
      </c>
      <c r="L4">
        <f>K4/$K$2</f>
        <v>0</v>
      </c>
      <c r="M4">
        <f>K4/31</f>
        <v>0</v>
      </c>
    </row>
    <row r="5">
      <c r="B5">
        <v>46143</v>
      </c>
      <c r="C5">
        <v>95</v>
      </c>
      <c r="D5">
        <v>45</v>
      </c>
      <c r="E5">
        <f>C5*D5</f>
        <v>4275</v>
      </c>
      <c r="F5" t="str">
        <v>Joy Sari Sari Store:Gardenia</v>
      </c>
      <c r="G5" t="str">
        <v>Breakfast</v>
      </c>
      <c r="I5">
        <v>2</v>
      </c>
      <c r="J5" t="str">
        <v>breakfast</v>
      </c>
      <c r="K5">
        <f>SUMIF($G:G,J5,$E:E)</f>
        <v>28211.85</v>
      </c>
      <c r="L5">
        <f>K5/$K$2</f>
        <v>0.2956547574</v>
      </c>
    </row>
    <row r="6">
      <c r="B6">
        <v>46143</v>
      </c>
      <c r="C6">
        <v>45</v>
      </c>
      <c r="D6">
        <v>1</v>
      </c>
      <c r="E6">
        <f>C6*D6</f>
        <v>45</v>
      </c>
      <c r="F6" t="str">
        <v>Joy Sari Sari Store:Apple</v>
      </c>
      <c r="G6" t="str">
        <v>Breakfast</v>
      </c>
      <c r="I6">
        <v>3</v>
      </c>
      <c r="J6" t="str">
        <v>cellphone</v>
      </c>
      <c r="K6">
        <f>SUMIF($G:G,J6,$E:E)</f>
        <v>0</v>
      </c>
      <c r="L6">
        <f>K6/$K$2</f>
        <v>0</v>
      </c>
      <c r="M6">
        <f>K6/31</f>
        <v>0</v>
      </c>
    </row>
    <row r="7">
      <c r="B7">
        <v>46143</v>
      </c>
      <c r="C7">
        <v>650</v>
      </c>
      <c r="D7">
        <v>1</v>
      </c>
      <c r="E7">
        <f>C7*D7</f>
        <v>650</v>
      </c>
      <c r="F7" t="str">
        <v>Joy Sari Sari Store:Chicken</v>
      </c>
      <c r="G7" t="str">
        <v>Staff meals</v>
      </c>
      <c r="I7">
        <v>4</v>
      </c>
      <c r="J7" t="str">
        <v>cleaning</v>
      </c>
      <c r="K7">
        <f>SUMIF($G:G,J7,$E:E)</f>
        <v>5322.25</v>
      </c>
      <c r="L7">
        <f>K7/$K$2</f>
        <v>0.0557761555</v>
      </c>
      <c r="M7">
        <f>K7/31</f>
        <v>171.6854839</v>
      </c>
    </row>
    <row r="8">
      <c r="B8">
        <v>46143</v>
      </c>
      <c r="C8">
        <v>43</v>
      </c>
      <c r="D8">
        <v>1</v>
      </c>
      <c r="E8">
        <f>C8*D8</f>
        <v>43</v>
      </c>
      <c r="F8" t="str">
        <v>Joy Sari Sari Store:Patatas</v>
      </c>
      <c r="G8" t="str">
        <v>Staff meals</v>
      </c>
      <c r="I8">
        <v>5</v>
      </c>
      <c r="J8" t="str">
        <v>coffee</v>
      </c>
      <c r="K8">
        <f>SUMIF($G:G,J8,$E:E)</f>
        <v>0</v>
      </c>
      <c r="L8">
        <f>K8/$K$2</f>
        <v>0</v>
      </c>
      <c r="M8">
        <f>K8/31</f>
        <v>0</v>
      </c>
    </row>
    <row r="9">
      <c r="B9">
        <v>46143</v>
      </c>
      <c r="C9">
        <v>6</v>
      </c>
      <c r="D9">
        <v>1</v>
      </c>
      <c r="E9">
        <f>C9*D9</f>
        <v>6</v>
      </c>
      <c r="F9" t="str">
        <v>Joy Sari Sari Store:Magic</v>
      </c>
      <c r="G9" t="str">
        <v>Staff meals</v>
      </c>
      <c r="I9">
        <v>6</v>
      </c>
      <c r="J9" t="str">
        <v>compliance</v>
      </c>
      <c r="K9">
        <f>SUMIF($G:G,J9,$E:E)</f>
        <v>0</v>
      </c>
      <c r="L9">
        <f>K9/$K$2</f>
        <v>0</v>
      </c>
      <c r="M9">
        <f>K9/31</f>
        <v>0</v>
      </c>
    </row>
    <row r="10">
      <c r="B10">
        <v>46144</v>
      </c>
      <c r="C10">
        <v>250</v>
      </c>
      <c r="D10">
        <v>2</v>
      </c>
      <c r="E10">
        <f>C10*D10</f>
        <v>500</v>
      </c>
      <c r="F10" t="str">
        <v>Joy Sari Sari Store:Gigi</v>
      </c>
      <c r="G10" t="str">
        <v>Breakfast</v>
      </c>
      <c r="I10">
        <v>7</v>
      </c>
      <c r="J10" t="str">
        <v>donation</v>
      </c>
      <c r="K10">
        <f>SUMIF($G:G,J10,$E:E)</f>
        <v>0</v>
      </c>
      <c r="L10">
        <f>K10/$K$2</f>
        <v>0</v>
      </c>
      <c r="M10">
        <f>K10/31</f>
        <v>0</v>
      </c>
    </row>
    <row r="11">
      <c r="B11">
        <v>46144</v>
      </c>
      <c r="C11">
        <v>87</v>
      </c>
      <c r="D11">
        <v>1</v>
      </c>
      <c r="E11">
        <f>C11*D11</f>
        <v>87</v>
      </c>
      <c r="F11" t="str">
        <v>Joy Sari Sari Store:Kalabasa</v>
      </c>
      <c r="G11" t="str">
        <v>Breakfast</v>
      </c>
      <c r="I11">
        <v>8</v>
      </c>
      <c r="J11" t="str">
        <v>electricity</v>
      </c>
      <c r="K11">
        <f>SUMIF($G:G,J11,$E:E)</f>
        <v>0</v>
      </c>
      <c r="L11">
        <f>K11/$K$2</f>
        <v>0</v>
      </c>
      <c r="M11">
        <f>K11/31</f>
        <v>0</v>
      </c>
    </row>
    <row r="12">
      <c r="B12">
        <v>46144</v>
      </c>
      <c r="C12">
        <v>30</v>
      </c>
      <c r="D12">
        <v>1</v>
      </c>
      <c r="E12">
        <f>C12*D12</f>
        <v>30</v>
      </c>
      <c r="F12" t="str">
        <v>Joy Sari Sari Store: Upo</v>
      </c>
      <c r="G12" t="str">
        <v>Breakfast</v>
      </c>
      <c r="I12">
        <v>9</v>
      </c>
      <c r="J12" t="str">
        <v>extra staff</v>
      </c>
      <c r="K12">
        <f>SUMIF($G:G,J12,$E:E)</f>
        <v>0</v>
      </c>
      <c r="L12">
        <f>K12/$K$2</f>
        <v>0</v>
      </c>
      <c r="M12">
        <f>K12/31</f>
        <v>0</v>
      </c>
    </row>
    <row r="13">
      <c r="B13">
        <v>46144</v>
      </c>
      <c r="C13">
        <v>14</v>
      </c>
      <c r="D13">
        <v>1</v>
      </c>
      <c r="E13">
        <f>C13*D13</f>
        <v>14</v>
      </c>
      <c r="F13" t="str">
        <v>Joy Sari Sari Store:Kakanin</v>
      </c>
      <c r="G13" t="str">
        <v>Breakfast</v>
      </c>
      <c r="I13">
        <v>10</v>
      </c>
      <c r="J13" t="str">
        <v>garden</v>
      </c>
      <c r="K13">
        <f>SUMIF($G:G,J13,$E:E)</f>
        <v>700</v>
      </c>
      <c r="L13">
        <f>K13/$K$2</f>
        <v>0.007335865255</v>
      </c>
      <c r="M13">
        <f>K13/31</f>
        <v>22.58064516</v>
      </c>
    </row>
    <row r="14">
      <c r="B14">
        <v>46144</v>
      </c>
      <c r="C14">
        <v>42</v>
      </c>
      <c r="D14">
        <v>1</v>
      </c>
      <c r="E14">
        <f>C14*D14</f>
        <v>42</v>
      </c>
      <c r="F14" t="str">
        <v>Joy Sari Sari Store:Magic</v>
      </c>
      <c r="G14" t="str">
        <v>Breakfast</v>
      </c>
      <c r="I14">
        <v>11</v>
      </c>
      <c r="J14" t="str">
        <v>genset</v>
      </c>
      <c r="K14">
        <f>SUMIF($G:G,J14,$E:E)</f>
        <v>11000</v>
      </c>
      <c r="L14">
        <f>K14/$K$2</f>
        <v>0.1152778826</v>
      </c>
      <c r="M14">
        <f>K14/31</f>
        <v>354.8387097</v>
      </c>
    </row>
    <row r="15">
      <c r="B15">
        <v>46144</v>
      </c>
      <c r="C15">
        <v>230</v>
      </c>
      <c r="D15">
        <v>3</v>
      </c>
      <c r="E15">
        <f>C15*D15</f>
        <v>690</v>
      </c>
      <c r="F15" t="str">
        <v>Irene Medina: Egg</v>
      </c>
      <c r="G15" t="str">
        <v>Breakfast</v>
      </c>
      <c r="I15">
        <v>12</v>
      </c>
      <c r="J15" t="str">
        <v>horse</v>
      </c>
      <c r="K15">
        <f>SUMIF($G:G,J15,$E:E)</f>
        <v>0</v>
      </c>
      <c r="L15">
        <f>K15/$K$2</f>
        <v>0</v>
      </c>
    </row>
    <row r="16">
      <c r="B16">
        <v>46145</v>
      </c>
      <c r="C16">
        <v>52</v>
      </c>
      <c r="D16">
        <v>1</v>
      </c>
      <c r="E16">
        <f>C16*D16</f>
        <v>52</v>
      </c>
      <c r="F16" t="str">
        <v>Joy Sari Sari Store:Corn</v>
      </c>
      <c r="G16" t="str">
        <v>Breakfast</v>
      </c>
      <c r="I16">
        <v>13</v>
      </c>
      <c r="J16" t="str">
        <v>internet</v>
      </c>
      <c r="K16">
        <f>SUMIF($G:G,J16,$E:E)</f>
        <v>0</v>
      </c>
      <c r="L16">
        <f>K16/$K$2</f>
        <v>0</v>
      </c>
    </row>
    <row r="17">
      <c r="B17">
        <v>46145</v>
      </c>
      <c r="C17">
        <v>35</v>
      </c>
      <c r="D17">
        <v>1</v>
      </c>
      <c r="E17">
        <f>C17*D17</f>
        <v>35</v>
      </c>
      <c r="F17" t="str">
        <v>Joy Sari Sari Store:Beans</v>
      </c>
      <c r="G17" t="str">
        <v>Breakfast</v>
      </c>
      <c r="I17">
        <v>14</v>
      </c>
      <c r="J17" t="str">
        <v>kitchen</v>
      </c>
      <c r="K17">
        <f>SUMIF($G:G,J17,$E:E)</f>
        <v>19377.5</v>
      </c>
      <c r="L17">
        <f>K17/$K$2</f>
        <v>0.20307247</v>
      </c>
    </row>
    <row r="18">
      <c r="B18">
        <v>46145</v>
      </c>
      <c r="C18">
        <v>90</v>
      </c>
      <c r="D18">
        <v>1</v>
      </c>
      <c r="E18">
        <f>C18*D18</f>
        <v>90</v>
      </c>
      <c r="F18" t="str">
        <v>Joy Sari Sari Store:Patatas</v>
      </c>
      <c r="G18" t="str">
        <v>Breakfast</v>
      </c>
      <c r="I18">
        <v>15</v>
      </c>
      <c r="J18" t="str">
        <v>laundry</v>
      </c>
      <c r="K18">
        <f>SUMIF($G:G,J18,$E:E)</f>
        <v>2759</v>
      </c>
      <c r="L18">
        <f>K18/$K$2</f>
        <v>0.02891378891</v>
      </c>
    </row>
    <row r="19">
      <c r="B19">
        <v>46145</v>
      </c>
      <c r="C19">
        <v>120</v>
      </c>
      <c r="D19">
        <v>1</v>
      </c>
      <c r="E19">
        <f>C19*D19</f>
        <v>120</v>
      </c>
      <c r="F19" t="str">
        <v>Joy Sari Sari Store:Okra</v>
      </c>
      <c r="G19" t="str">
        <v>Breakfast</v>
      </c>
      <c r="I19">
        <v>16</v>
      </c>
      <c r="J19" t="str">
        <v>linens/towels</v>
      </c>
      <c r="K19">
        <f>SUMIF($G:G,J19,$E:E)</f>
        <v>2231</v>
      </c>
      <c r="L19">
        <f>K19/$K$2</f>
        <v>0.02338045055</v>
      </c>
    </row>
    <row r="20">
      <c r="B20">
        <v>46145</v>
      </c>
      <c r="C20">
        <v>50</v>
      </c>
      <c r="D20">
        <v>1</v>
      </c>
      <c r="E20">
        <f>C20*D20</f>
        <v>50</v>
      </c>
      <c r="F20" t="str">
        <v>Joy Sari Sari Store:Leaks</v>
      </c>
      <c r="G20" t="str">
        <v>Breakfast</v>
      </c>
      <c r="I20">
        <v>17</v>
      </c>
      <c r="J20" t="str">
        <v>lunch/dinner</v>
      </c>
      <c r="K20">
        <f>SUMIF($G:G,J20,$E:E)</f>
        <v>8708</v>
      </c>
      <c r="L20">
        <f>K20/$K$2</f>
        <v>0.09125816377</v>
      </c>
      <c r="M20">
        <f>K20/31</f>
        <v>280.9032258</v>
      </c>
    </row>
    <row r="21">
      <c r="B21">
        <v>46145</v>
      </c>
      <c r="C21">
        <v>80</v>
      </c>
      <c r="D21">
        <v>1</v>
      </c>
      <c r="E21">
        <f>C21*D21</f>
        <v>80</v>
      </c>
      <c r="F21" t="str">
        <v>Joy Sari Sari Store:Talong</v>
      </c>
      <c r="G21" t="str">
        <v>Breakfast</v>
      </c>
      <c r="I21">
        <v>18</v>
      </c>
      <c r="J21" t="str">
        <v>maintenance</v>
      </c>
      <c r="K21">
        <f>SUMIF($G:G,J21,$E:E)</f>
        <v>0</v>
      </c>
      <c r="L21">
        <f>K21/$K$2</f>
        <v>0</v>
      </c>
    </row>
    <row r="22">
      <c r="B22">
        <v>46145</v>
      </c>
      <c r="C22">
        <v>170</v>
      </c>
      <c r="D22">
        <v>1</v>
      </c>
      <c r="E22">
        <f>C22*D22</f>
        <v>170</v>
      </c>
      <c r="F22" t="str">
        <v>Joy Sari Sari Store:Ubas</v>
      </c>
      <c r="G22" t="str">
        <v>Breakfast</v>
      </c>
      <c r="I22">
        <v>19</v>
      </c>
      <c r="J22" t="str">
        <v>meal</v>
      </c>
      <c r="K22">
        <f>SUMIF($G:G,J22,$E:E)</f>
        <v>0</v>
      </c>
      <c r="L22">
        <f>K22/$K$2</f>
        <v>0</v>
      </c>
    </row>
    <row r="23">
      <c r="B23">
        <v>46148</v>
      </c>
      <c r="C23">
        <v>230</v>
      </c>
      <c r="D23">
        <v>3</v>
      </c>
      <c r="E23">
        <f>C23*D23</f>
        <v>690</v>
      </c>
      <c r="F23" t="str">
        <v>Irene Medina: Egg</v>
      </c>
      <c r="G23" t="str">
        <v>Breakfast</v>
      </c>
      <c r="I23">
        <v>20</v>
      </c>
      <c r="J23" t="str">
        <v>miscellaneous</v>
      </c>
      <c r="K23">
        <f>SUMIF($G:G,J23,$E:E)</f>
        <v>0</v>
      </c>
      <c r="L23">
        <f>K23/$K$2</f>
        <v>0</v>
      </c>
    </row>
    <row r="24">
      <c r="B24">
        <v>46149</v>
      </c>
      <c r="C24">
        <v>45</v>
      </c>
      <c r="D24">
        <v>1</v>
      </c>
      <c r="E24">
        <f>C24*D24</f>
        <v>45</v>
      </c>
      <c r="F24" t="str">
        <v>Joy Sari Sari Store:Apple</v>
      </c>
      <c r="G24" t="str">
        <v>Breakfast</v>
      </c>
      <c r="I24">
        <v>21</v>
      </c>
      <c r="J24" t="str">
        <v>pool</v>
      </c>
      <c r="K24">
        <f>SUMIF($G:G,J24,$E:E)</f>
        <v>0</v>
      </c>
      <c r="L24">
        <f>K24/$K$2</f>
        <v>0</v>
      </c>
    </row>
    <row r="25">
      <c r="B25">
        <v>46149</v>
      </c>
      <c r="C25">
        <v>35</v>
      </c>
      <c r="D25">
        <v>1</v>
      </c>
      <c r="E25">
        <f>C25*D25</f>
        <v>35</v>
      </c>
      <c r="F25" t="str">
        <v>Joy Sari Sari Store:Talong</v>
      </c>
      <c r="G25" t="str">
        <v>Breakfast</v>
      </c>
      <c r="I25">
        <v>22</v>
      </c>
      <c r="J25" t="str">
        <v>recreation</v>
      </c>
      <c r="K25">
        <f>SUMIF($G:G,J25,$E:E)</f>
        <v>0</v>
      </c>
      <c r="L25">
        <f>K25/$K$2</f>
        <v>0</v>
      </c>
      <c r="M25">
        <f>K25/31</f>
        <v>0</v>
      </c>
    </row>
    <row r="26">
      <c r="B26">
        <v>46149</v>
      </c>
      <c r="C26">
        <v>100</v>
      </c>
      <c r="D26">
        <v>1</v>
      </c>
      <c r="E26">
        <f>C26*D26</f>
        <v>100</v>
      </c>
      <c r="F26" t="str">
        <v>Joy Sari Sari Store:Pakwan</v>
      </c>
      <c r="G26" t="str">
        <v>Breakfast</v>
      </c>
      <c r="I26">
        <v>23</v>
      </c>
      <c r="J26" t="str">
        <v>repair</v>
      </c>
      <c r="K26">
        <f>SUMIF($G:G,J26,$E:E)</f>
        <v>11271</v>
      </c>
      <c r="L26">
        <f>K26/$K$2</f>
        <v>0.1181179104</v>
      </c>
      <c r="M26">
        <f>K26/31</f>
        <v>363.5806452</v>
      </c>
    </row>
    <row r="27">
      <c r="B27">
        <v>46150</v>
      </c>
      <c r="C27">
        <f>627/3</f>
        <v>209</v>
      </c>
      <c r="D27">
        <v>3</v>
      </c>
      <c r="E27">
        <f>C27*D27</f>
        <v>627</v>
      </c>
      <c r="F27" t="str">
        <v>Joy Sari Sari Store:Bangus</v>
      </c>
      <c r="G27" t="str">
        <v>Staff meals</v>
      </c>
      <c r="I27">
        <v>24</v>
      </c>
      <c r="J27" t="str">
        <v>staff meals</v>
      </c>
      <c r="K27">
        <f>SUMIF($G:G,J27,$E:E)</f>
        <v>4640</v>
      </c>
      <c r="L27">
        <f>K27/$K$2</f>
        <v>0.04862630683</v>
      </c>
      <c r="M27">
        <f>K27/31</f>
        <v>149.6774194</v>
      </c>
    </row>
    <row r="28">
      <c r="B28">
        <v>46150</v>
      </c>
      <c r="C28">
        <v>30</v>
      </c>
      <c r="D28">
        <v>2</v>
      </c>
      <c r="E28">
        <f>C28*D28</f>
        <v>60</v>
      </c>
      <c r="F28" t="str">
        <v>Joy Sari Sari Store:Gulay</v>
      </c>
      <c r="G28" t="str">
        <v>Staff meals</v>
      </c>
      <c r="I28">
        <v>25</v>
      </c>
      <c r="J28" t="str">
        <v>store</v>
      </c>
      <c r="K28">
        <f>SUMIF($G:G,J28,$E:E)</f>
        <v>0</v>
      </c>
      <c r="L28">
        <f>K28/$K$2</f>
        <v>0</v>
      </c>
    </row>
    <row r="29">
      <c r="B29">
        <v>46150</v>
      </c>
      <c r="C29">
        <v>6</v>
      </c>
      <c r="D29">
        <v>1</v>
      </c>
      <c r="E29">
        <f>C29*D29</f>
        <v>6</v>
      </c>
      <c r="F29" t="str">
        <v>Joy Sari Sari Store:Magic</v>
      </c>
      <c r="G29" t="str">
        <v>Staff meals</v>
      </c>
      <c r="I29">
        <v>26</v>
      </c>
      <c r="J29" t="str">
        <v>transpo</v>
      </c>
      <c r="K29">
        <f>SUMIF($G:G,J29,$E:E)</f>
        <v>1200</v>
      </c>
      <c r="L29">
        <f>K29/$K$2</f>
        <v>0.01257576901</v>
      </c>
      <c r="M29">
        <f>K29/31</f>
        <v>38.70967742</v>
      </c>
    </row>
    <row r="30">
      <c r="B30">
        <v>46150</v>
      </c>
      <c r="C30">
        <v>10</v>
      </c>
      <c r="D30">
        <v>1</v>
      </c>
      <c r="E30">
        <f>C30*D30</f>
        <v>10</v>
      </c>
      <c r="F30" t="str">
        <v>Joy Sari Sari Store:Panigang mix</v>
      </c>
      <c r="G30" t="str">
        <v>Staff meals</v>
      </c>
      <c r="I30">
        <v>27</v>
      </c>
      <c r="J30" t="str">
        <v>uniforms</v>
      </c>
      <c r="K30">
        <f>SUMIF($G:G,J30,$E:E)</f>
        <v>0</v>
      </c>
      <c r="L30">
        <f>K30/$K$2</f>
        <v>0</v>
      </c>
      <c r="M30">
        <f>K30/31</f>
        <v>0</v>
      </c>
    </row>
    <row r="31">
      <c r="B31">
        <v>46151</v>
      </c>
      <c r="C31">
        <f>91/2</f>
        <v>45.5</v>
      </c>
      <c r="D31">
        <v>2</v>
      </c>
      <c r="E31">
        <f>C31*D31</f>
        <v>91</v>
      </c>
      <c r="F31" t="str">
        <v>Joy Sari Sari Store:Kalabasa</v>
      </c>
      <c r="G31" t="str">
        <v>Staff meals</v>
      </c>
      <c r="I31">
        <v>28</v>
      </c>
      <c r="J31" t="str">
        <v>water</v>
      </c>
      <c r="K31">
        <f>SUMIF($G:G,J31,$E:E)</f>
        <v>1</v>
      </c>
      <c r="L31">
        <f>K31/$K$2</f>
        <v>0.00001047980751</v>
      </c>
    </row>
    <row r="32">
      <c r="B32">
        <v>46151</v>
      </c>
      <c r="C32">
        <v>180</v>
      </c>
      <c r="D32">
        <v>1</v>
      </c>
      <c r="E32">
        <f>C32*D32</f>
        <v>180</v>
      </c>
      <c r="F32" t="str">
        <v>Joy Sari Sari Store:Tulingan</v>
      </c>
      <c r="G32" t="str">
        <v>Staff meals</v>
      </c>
      <c r="L32">
        <f>K32/$K$2</f>
        <v>0</v>
      </c>
    </row>
    <row r="33">
      <c r="B33">
        <v>46151</v>
      </c>
      <c r="C33">
        <v>130</v>
      </c>
      <c r="D33">
        <v>1</v>
      </c>
      <c r="E33">
        <f>C33*D33</f>
        <v>130</v>
      </c>
      <c r="F33" t="str">
        <v>Joy Sari Sari Store:Gigi</v>
      </c>
      <c r="G33" t="str">
        <v>Staff meals</v>
      </c>
    </row>
    <row r="34">
      <c r="B34">
        <v>46151</v>
      </c>
      <c r="C34">
        <v>48</v>
      </c>
      <c r="D34">
        <v>1</v>
      </c>
      <c r="E34">
        <f>C34*D34</f>
        <v>48</v>
      </c>
      <c r="F34" t="str">
        <v>Joy Sari Sari Store:Sibuyas</v>
      </c>
      <c r="G34" t="str">
        <v>Staff meals</v>
      </c>
    </row>
    <row r="35">
      <c r="B35">
        <v>46151</v>
      </c>
      <c r="C35">
        <v>90</v>
      </c>
      <c r="D35">
        <v>1</v>
      </c>
      <c r="E35">
        <f>C35*D35</f>
        <v>90</v>
      </c>
      <c r="F35" t="str">
        <v>Joy Sari Sari Store:Alamang</v>
      </c>
      <c r="G35" t="str">
        <v>Staff meals</v>
      </c>
    </row>
    <row r="36">
      <c r="B36">
        <v>46151</v>
      </c>
      <c r="C36">
        <v>35</v>
      </c>
      <c r="D36">
        <v>1</v>
      </c>
      <c r="E36">
        <f>C36*D36</f>
        <v>35</v>
      </c>
      <c r="F36" t="str">
        <v>Joy Sari Sari Store:Talong</v>
      </c>
      <c r="G36" t="str">
        <v>Staff meals</v>
      </c>
    </row>
    <row r="37">
      <c r="B37">
        <v>46151</v>
      </c>
      <c r="C37">
        <v>63</v>
      </c>
      <c r="D37">
        <v>1</v>
      </c>
      <c r="E37">
        <f>C37*D37</f>
        <v>63</v>
      </c>
      <c r="F37" t="str">
        <v>Joy Sari Sari Store:Ampalaya</v>
      </c>
      <c r="G37" t="str">
        <v>Staff meals</v>
      </c>
    </row>
    <row r="38">
      <c r="B38">
        <v>46151</v>
      </c>
      <c r="C38">
        <v>45</v>
      </c>
      <c r="D38">
        <v>1</v>
      </c>
      <c r="E38">
        <f>C38*D38</f>
        <v>45</v>
      </c>
      <c r="F38" t="str">
        <v>Joy Sari Sari Store:okra</v>
      </c>
      <c r="G38" t="str">
        <v>Staff meals</v>
      </c>
    </row>
    <row r="39">
      <c r="B39">
        <v>46151</v>
      </c>
      <c r="C39">
        <v>24</v>
      </c>
      <c r="D39">
        <v>1</v>
      </c>
      <c r="E39">
        <f>C39*D39</f>
        <v>24</v>
      </c>
      <c r="F39" t="str">
        <v>Joy Sari Sari Store:Magic</v>
      </c>
      <c r="G39" t="str">
        <v>Staff meals</v>
      </c>
    </row>
    <row r="40">
      <c r="B40">
        <v>46151</v>
      </c>
      <c r="C40">
        <v>210</v>
      </c>
      <c r="D40">
        <v>1</v>
      </c>
      <c r="E40">
        <f>C40*D40</f>
        <v>210</v>
      </c>
      <c r="F40" t="str">
        <v>Pakwan</v>
      </c>
      <c r="G40" t="str">
        <v>Breakfast</v>
      </c>
    </row>
    <row r="41">
      <c r="B41">
        <v>46152</v>
      </c>
      <c r="C41">
        <v>50</v>
      </c>
      <c r="D41">
        <v>1</v>
      </c>
      <c r="E41">
        <f>C41*D41</f>
        <v>50</v>
      </c>
      <c r="F41" t="str">
        <v>Joy Sari Sari Store: Kamatis</v>
      </c>
      <c r="G41" t="str">
        <v>Breakfast</v>
      </c>
      <c r="H41" t="str">
        <v xml:space="preserve"> </v>
      </c>
    </row>
    <row r="42">
      <c r="B42">
        <v>46152</v>
      </c>
      <c r="C42">
        <v>120</v>
      </c>
      <c r="D42">
        <v>1</v>
      </c>
      <c r="E42">
        <f>C42*D42</f>
        <v>120</v>
      </c>
      <c r="F42" t="str">
        <v>Joy Sari Sari Store:okra</v>
      </c>
      <c r="G42" t="str">
        <v>Breakfast</v>
      </c>
      <c r="L42" t="str">
        <v xml:space="preserve"> </v>
      </c>
    </row>
    <row r="43">
      <c r="B43">
        <v>46152</v>
      </c>
      <c r="C43">
        <v>75</v>
      </c>
      <c r="D43">
        <v>1</v>
      </c>
      <c r="E43">
        <f>C43*D43</f>
        <v>75</v>
      </c>
      <c r="F43" t="str">
        <v>Joy Sari Sari Store:Sitaw</v>
      </c>
      <c r="G43" t="str">
        <v>Breakfast</v>
      </c>
    </row>
    <row r="44">
      <c r="B44">
        <v>46152</v>
      </c>
      <c r="C44">
        <v>60</v>
      </c>
      <c r="D44">
        <v>1</v>
      </c>
      <c r="E44">
        <f>C44*D44</f>
        <v>60</v>
      </c>
      <c r="F44" t="str">
        <v>Joy Sari Sari Store:Leaks</v>
      </c>
      <c r="G44" t="str">
        <v>Breakfast</v>
      </c>
    </row>
    <row r="45">
      <c r="B45">
        <v>46153</v>
      </c>
      <c r="C45">
        <v>520</v>
      </c>
      <c r="D45">
        <v>1</v>
      </c>
      <c r="E45">
        <f>C45*D45</f>
        <v>520</v>
      </c>
      <c r="F45" t="str">
        <v xml:space="preserve">Joy Sari Sari Store:Lakatan </v>
      </c>
      <c r="G45" t="str">
        <v>Breakfast</v>
      </c>
    </row>
    <row r="46">
      <c r="B46">
        <v>46153</v>
      </c>
      <c r="C46">
        <v>350</v>
      </c>
      <c r="D46">
        <v>1</v>
      </c>
      <c r="E46">
        <f>C46*D46</f>
        <v>350</v>
      </c>
      <c r="F46" t="str">
        <v>Zonrox</v>
      </c>
      <c r="G46" t="str">
        <v>Laundry</v>
      </c>
    </row>
    <row r="47">
      <c r="B47">
        <v>46153</v>
      </c>
      <c r="C47">
        <v>230</v>
      </c>
      <c r="D47">
        <v>3</v>
      </c>
      <c r="E47">
        <f>C47*D47</f>
        <v>690</v>
      </c>
      <c r="F47" t="str">
        <v>Irene Medina: Egg</v>
      </c>
      <c r="G47" t="str">
        <v>Breakfast</v>
      </c>
    </row>
    <row r="48">
      <c r="B48">
        <v>46153</v>
      </c>
      <c r="C48">
        <v>4500</v>
      </c>
      <c r="D48">
        <v>1</v>
      </c>
      <c r="E48">
        <f>C48*D48</f>
        <v>4500</v>
      </c>
      <c r="F48" t="str">
        <v>AIrcon Repairs: SIlangaan</v>
      </c>
      <c r="G48" t="str">
        <v>Repair</v>
      </c>
    </row>
    <row r="49">
      <c r="B49">
        <v>46153</v>
      </c>
      <c r="C49">
        <f>6000/92</f>
        <v>65.2173913</v>
      </c>
      <c r="D49">
        <v>92</v>
      </c>
      <c r="E49">
        <f>C49*D49</f>
        <v>6000</v>
      </c>
      <c r="F49" t="str">
        <v>Redmel Gas</v>
      </c>
      <c r="G49" t="str">
        <v>Genset</v>
      </c>
    </row>
    <row r="50">
      <c r="B50">
        <v>46153</v>
      </c>
      <c r="C50">
        <v>200</v>
      </c>
      <c r="D50">
        <v>1</v>
      </c>
      <c r="E50">
        <f>C50*D50</f>
        <v>200</v>
      </c>
      <c r="F50" t="str">
        <v>Transpo buying gas for generator</v>
      </c>
      <c r="G50" t="str">
        <v>Transpo</v>
      </c>
    </row>
    <row r="51">
      <c r="B51">
        <v>46154</v>
      </c>
      <c r="C51">
        <v>700</v>
      </c>
      <c r="D51">
        <v>1</v>
      </c>
      <c r="E51">
        <f>C51*D51</f>
        <v>700</v>
      </c>
      <c r="F51" t="str">
        <v>Mower Gas</v>
      </c>
      <c r="G51" t="str">
        <v>Garden</v>
      </c>
    </row>
    <row r="52">
      <c r="B52">
        <v>46155</v>
      </c>
      <c r="C52">
        <v>100</v>
      </c>
      <c r="D52">
        <v>1</v>
      </c>
      <c r="E52">
        <f>C52*D52</f>
        <v>100</v>
      </c>
      <c r="F52" t="str">
        <v>Joy Sari Sari Store:Ponkan</v>
      </c>
      <c r="G52" t="str">
        <v>Breakfast</v>
      </c>
    </row>
    <row r="53">
      <c r="B53">
        <v>46155</v>
      </c>
      <c r="C53">
        <v>90</v>
      </c>
      <c r="D53">
        <v>1</v>
      </c>
      <c r="E53">
        <f>C53*D53</f>
        <v>90</v>
      </c>
      <c r="F53" t="str">
        <v>Joy Sari Sari Store:Apple</v>
      </c>
      <c r="G53" t="str">
        <v>breakfast</v>
      </c>
    </row>
    <row r="54">
      <c r="B54">
        <v>46157</v>
      </c>
      <c r="C54">
        <v>650</v>
      </c>
      <c r="D54">
        <v>1</v>
      </c>
      <c r="E54">
        <f>C54*D54</f>
        <v>650</v>
      </c>
      <c r="F54" t="str">
        <v>Joy Sari Sari Store:Chicken</v>
      </c>
      <c r="G54" t="str">
        <v>Staff meals</v>
      </c>
    </row>
    <row r="55">
      <c r="B55">
        <v>46157</v>
      </c>
      <c r="C55">
        <v>27</v>
      </c>
      <c r="D55">
        <v>1</v>
      </c>
      <c r="E55">
        <f>C55*D55</f>
        <v>27</v>
      </c>
      <c r="F55" t="str">
        <v>Joy Sari Sari Store:Luya</v>
      </c>
      <c r="G55" t="str">
        <v>Staff meals</v>
      </c>
    </row>
    <row r="56">
      <c r="B56">
        <v>46157</v>
      </c>
      <c r="C56">
        <v>12</v>
      </c>
      <c r="D56">
        <v>1</v>
      </c>
      <c r="E56">
        <f>C56*D56</f>
        <v>12</v>
      </c>
      <c r="F56" t="str">
        <v>Joy Sari Sari Store:Magic</v>
      </c>
      <c r="G56" t="str">
        <v>Staff meals</v>
      </c>
    </row>
    <row r="57">
      <c r="B57">
        <v>46157</v>
      </c>
      <c r="C57">
        <v>11</v>
      </c>
      <c r="D57">
        <v>1</v>
      </c>
      <c r="E57">
        <f>C57*D57</f>
        <v>11</v>
      </c>
      <c r="F57" t="str">
        <v>Joy Sari Sari Store:Sibuyas</v>
      </c>
      <c r="G57" t="str">
        <v>Staff meals</v>
      </c>
    </row>
    <row r="58">
      <c r="B58">
        <v>46157</v>
      </c>
      <c r="C58">
        <v>1500</v>
      </c>
      <c r="D58">
        <v>24000</v>
      </c>
      <c r="E58">
        <v>1</v>
      </c>
      <c r="F58" t="str">
        <v>Aircon Cleaning: 20 Aircons</v>
      </c>
      <c r="G58" t="str">
        <v>Repair</v>
      </c>
    </row>
    <row r="59">
      <c r="B59">
        <v>46157</v>
      </c>
      <c r="C59">
        <v>45</v>
      </c>
      <c r="D59">
        <v>38</v>
      </c>
      <c r="E59">
        <v>1</v>
      </c>
      <c r="F59" t="str">
        <v>Beperas: Water</v>
      </c>
      <c r="G59" t="str">
        <v>Water</v>
      </c>
    </row>
    <row r="60">
      <c r="B60">
        <v>46158</v>
      </c>
      <c r="C60">
        <v>210</v>
      </c>
      <c r="D60">
        <v>1</v>
      </c>
      <c r="E60">
        <f>C60*D60</f>
        <v>210</v>
      </c>
      <c r="F60" t="str">
        <v>Joy Sari Sari Store:Tulingan</v>
      </c>
      <c r="G60" t="str">
        <v>Staff meals</v>
      </c>
    </row>
    <row r="61">
      <c r="B61">
        <v>46158</v>
      </c>
      <c r="C61">
        <v>260</v>
      </c>
      <c r="D61">
        <v>1</v>
      </c>
      <c r="E61">
        <f>C61*D61</f>
        <v>260</v>
      </c>
      <c r="F61" t="str">
        <v>Joy Sari Sari Store:Gigi</v>
      </c>
      <c r="G61" t="str">
        <v>Staff meals</v>
      </c>
    </row>
    <row r="62">
      <c r="B62">
        <v>46158</v>
      </c>
      <c r="C62">
        <v>90</v>
      </c>
      <c r="D62">
        <v>1</v>
      </c>
      <c r="E62">
        <f>C62*D62</f>
        <v>90</v>
      </c>
      <c r="F62" t="str">
        <v>Joy Sari Sari Store:Upo</v>
      </c>
      <c r="G62" t="str">
        <v>Staff meals</v>
      </c>
    </row>
    <row r="63">
      <c r="B63">
        <v>46158</v>
      </c>
      <c r="C63">
        <v>18</v>
      </c>
      <c r="D63">
        <v>1</v>
      </c>
      <c r="E63">
        <f>C63*D63</f>
        <v>18</v>
      </c>
      <c r="F63" t="str">
        <v>Joy Sari Sari Store:Sibuyas</v>
      </c>
      <c r="G63" t="str">
        <v>Staff meals</v>
      </c>
    </row>
    <row r="64">
      <c r="B64">
        <v>46158</v>
      </c>
      <c r="C64">
        <v>12</v>
      </c>
      <c r="D64">
        <v>1</v>
      </c>
      <c r="E64">
        <f>C64*D64</f>
        <v>12</v>
      </c>
      <c r="F64" t="str">
        <v>Joy Sari Sari Store:Magic</v>
      </c>
      <c r="G64" t="str">
        <v>Staff meals</v>
      </c>
    </row>
    <row r="65">
      <c r="B65">
        <v>46158</v>
      </c>
      <c r="C65">
        <v>105</v>
      </c>
      <c r="D65">
        <v>1</v>
      </c>
      <c r="E65">
        <f>C65*D65</f>
        <v>105</v>
      </c>
      <c r="F65" t="str">
        <v>Joy Sari Sari Store:Pork</v>
      </c>
      <c r="G65" t="str">
        <v>Staff meals</v>
      </c>
    </row>
    <row r="66">
      <c r="B66">
        <v>46158</v>
      </c>
      <c r="C66">
        <v>10</v>
      </c>
      <c r="D66">
        <v>1</v>
      </c>
      <c r="E66">
        <f>C66*D66</f>
        <v>10</v>
      </c>
      <c r="F66" t="str">
        <v>Joy Sari Sari Store:Betsin</v>
      </c>
      <c r="G66" t="str">
        <v>Staff meals</v>
      </c>
    </row>
    <row r="67">
      <c r="B67">
        <v>46158</v>
      </c>
      <c r="C67">
        <v>20</v>
      </c>
      <c r="D67">
        <v>1</v>
      </c>
      <c r="E67">
        <f>C67*D67</f>
        <v>20</v>
      </c>
      <c r="F67" t="str">
        <v>Joy Sari Sari Store:Sitaw</v>
      </c>
      <c r="G67" t="str">
        <v>breakfast</v>
      </c>
    </row>
    <row r="68">
      <c r="B68">
        <v>46158</v>
      </c>
      <c r="C68">
        <v>80</v>
      </c>
      <c r="D68">
        <v>1</v>
      </c>
      <c r="E68">
        <f>C68*D68</f>
        <v>80</v>
      </c>
      <c r="F68" t="str">
        <v>Joy Sari Sari Store:Talong</v>
      </c>
      <c r="G68" t="str">
        <v>breakfast</v>
      </c>
    </row>
    <row r="69">
      <c r="B69">
        <v>46158</v>
      </c>
      <c r="C69">
        <v>49.75</v>
      </c>
      <c r="D69">
        <v>100</v>
      </c>
      <c r="E69">
        <f>C69*D69</f>
        <v>4975</v>
      </c>
      <c r="F69" t="str">
        <v>landmark: dinner spoons dynamex</v>
      </c>
      <c r="G69" t="str">
        <v>kitchen</v>
      </c>
    </row>
    <row r="70">
      <c r="B70">
        <v>46158</v>
      </c>
      <c r="C70">
        <v>49.75</v>
      </c>
      <c r="D70">
        <v>100</v>
      </c>
      <c r="E70">
        <f>C70*D70</f>
        <v>4975</v>
      </c>
      <c r="F70" t="str">
        <v>landmark: dinner forks dynamex</v>
      </c>
      <c r="G70" t="str">
        <v>kitchen</v>
      </c>
    </row>
    <row r="71">
      <c r="B71">
        <v>46158</v>
      </c>
      <c r="C71">
        <v>69.75</v>
      </c>
      <c r="D71">
        <v>50</v>
      </c>
      <c r="E71">
        <f>C71*D71</f>
        <v>3487.5</v>
      </c>
      <c r="F71" t="str">
        <v>landmark: dinner knives rounded cuisson</v>
      </c>
      <c r="G71" t="str">
        <v>kitchen</v>
      </c>
    </row>
    <row r="72">
      <c r="B72">
        <v>46158</v>
      </c>
      <c r="C72">
        <v>69.75</v>
      </c>
      <c r="D72">
        <v>50</v>
      </c>
      <c r="E72">
        <f>C72*D72</f>
        <v>3487.5</v>
      </c>
      <c r="F72" t="str">
        <v>landmark: dinner knives pointed cuisson</v>
      </c>
      <c r="G72" t="str">
        <v>kitchen</v>
      </c>
    </row>
    <row r="73">
      <c r="B73">
        <v>46158</v>
      </c>
      <c r="C73">
        <v>89.75</v>
      </c>
      <c r="D73">
        <v>2</v>
      </c>
      <c r="E73">
        <f>C73*D73</f>
        <v>179.5</v>
      </c>
      <c r="F73" t="str">
        <v>landmark: spoons ordinary 12 pcs per pack</v>
      </c>
      <c r="G73" t="str">
        <v>kitchen</v>
      </c>
    </row>
    <row r="74">
      <c r="B74">
        <v>46158</v>
      </c>
      <c r="C74">
        <v>89.75</v>
      </c>
      <c r="D74">
        <v>2</v>
      </c>
      <c r="E74">
        <f>C74*D74</f>
        <v>179.5</v>
      </c>
      <c r="F74" t="str">
        <v>landmark: forks ordinary 12 pcs per pack</v>
      </c>
      <c r="G74" t="str">
        <v>kitchen</v>
      </c>
    </row>
    <row r="75">
      <c r="B75">
        <v>46159</v>
      </c>
      <c r="C75">
        <f>160/2</f>
        <v>80</v>
      </c>
      <c r="D75">
        <v>2</v>
      </c>
      <c r="E75">
        <f>C75*D75</f>
        <v>160</v>
      </c>
      <c r="F75" t="str">
        <v>Joy Sari Sari Store:Talong</v>
      </c>
      <c r="G75" t="str">
        <v>breakfast</v>
      </c>
      <c r="H75" t="str">
        <v xml:space="preserve">     </v>
      </c>
    </row>
    <row r="76">
      <c r="B76">
        <v>46159</v>
      </c>
      <c r="C76">
        <v>50</v>
      </c>
      <c r="D76">
        <v>3</v>
      </c>
      <c r="E76">
        <f>C76*D76</f>
        <v>150</v>
      </c>
      <c r="F76" t="str">
        <v>Joy Sari Sari Store:Kamatis</v>
      </c>
      <c r="G76" t="str">
        <v>breakfast</v>
      </c>
    </row>
    <row r="77">
      <c r="B77">
        <v>46159</v>
      </c>
      <c r="C77">
        <v>86</v>
      </c>
      <c r="D77">
        <v>1</v>
      </c>
      <c r="E77">
        <f>C77*D77</f>
        <v>86</v>
      </c>
      <c r="F77" t="str">
        <v xml:space="preserve">Joy Sari Sari Store:Lakatan </v>
      </c>
      <c r="G77" t="str">
        <v>breakfast</v>
      </c>
    </row>
    <row r="78">
      <c r="B78">
        <v>46160</v>
      </c>
      <c r="C78">
        <v>350</v>
      </c>
      <c r="D78">
        <v>1</v>
      </c>
      <c r="E78">
        <f>C78*D78</f>
        <v>350</v>
      </c>
      <c r="F78" t="str">
        <v>Joy Sari Sari Store:Chicken</v>
      </c>
      <c r="G78" t="str">
        <v>staff meals</v>
      </c>
    </row>
    <row r="79">
      <c r="B79">
        <v>46160</v>
      </c>
      <c r="C79">
        <v>37</v>
      </c>
      <c r="D79">
        <v>1</v>
      </c>
      <c r="E79">
        <f>C79*D79</f>
        <v>37</v>
      </c>
      <c r="F79" t="str">
        <v>Joy Sari Sari Store:Sibuyas</v>
      </c>
      <c r="G79" t="str">
        <v>staff meals</v>
      </c>
    </row>
    <row r="80">
      <c r="B80">
        <v>46160</v>
      </c>
      <c r="C80">
        <v>12</v>
      </c>
      <c r="D80">
        <v>1</v>
      </c>
      <c r="E80">
        <f>C80*D80</f>
        <v>12</v>
      </c>
      <c r="F80" t="str">
        <v>Joy Sari Sari Store:Magic</v>
      </c>
      <c r="G80" t="str">
        <v>staff meals</v>
      </c>
    </row>
    <row r="81">
      <c r="B81">
        <v>46163</v>
      </c>
      <c r="C81">
        <v>80</v>
      </c>
      <c r="D81">
        <v>1</v>
      </c>
      <c r="E81">
        <v>1</v>
      </c>
      <c r="F81" t="str">
        <v>Joy Sari Sari Store: Talong</v>
      </c>
      <c r="G81" t="str">
        <v>breakfast</v>
      </c>
    </row>
    <row r="82">
      <c r="B82">
        <v>46163</v>
      </c>
      <c r="C82">
        <v>25</v>
      </c>
      <c r="D82">
        <v>1</v>
      </c>
      <c r="E82">
        <f>C82*D82</f>
        <v>25</v>
      </c>
      <c r="F82" t="str">
        <v>Joy Sari Sari Store:Sitaw</v>
      </c>
      <c r="G82" t="str">
        <v>breakfast</v>
      </c>
    </row>
    <row r="83">
      <c r="B83">
        <v>46163</v>
      </c>
      <c r="C83">
        <v>619</v>
      </c>
      <c r="D83">
        <v>1</v>
      </c>
      <c r="E83">
        <f>C83*D83</f>
        <v>619</v>
      </c>
      <c r="F83" t="str">
        <v>Palengke: Beef</v>
      </c>
      <c r="G83" t="str">
        <v>Lunch/dinner</v>
      </c>
    </row>
    <row r="84">
      <c r="B84">
        <v>46163</v>
      </c>
      <c r="C84">
        <v>1800</v>
      </c>
      <c r="D84">
        <v>1</v>
      </c>
      <c r="E84">
        <f>C84*D84</f>
        <v>1800</v>
      </c>
      <c r="F84" t="str">
        <v>Palengke: Chicken</v>
      </c>
      <c r="G84" t="str">
        <v>Lunch/dinner</v>
      </c>
    </row>
    <row r="85">
      <c r="B85">
        <v>46163</v>
      </c>
      <c r="C85">
        <v>310</v>
      </c>
      <c r="D85">
        <v>1</v>
      </c>
      <c r="E85">
        <f>C85*D85</f>
        <v>310</v>
      </c>
      <c r="F85" t="str">
        <v>Palengke: Sisig pork</v>
      </c>
      <c r="G85" t="str">
        <v>Lunch/dinner</v>
      </c>
    </row>
    <row r="86">
      <c r="B86">
        <v>46163</v>
      </c>
      <c r="C86">
        <v>1600</v>
      </c>
      <c r="D86">
        <v>1</v>
      </c>
      <c r="E86">
        <f>C86*D86</f>
        <v>1600</v>
      </c>
      <c r="F86" t="str">
        <v>Palengke: Pusit</v>
      </c>
      <c r="G86" t="str">
        <v>Lunch/dinner</v>
      </c>
    </row>
    <row r="87">
      <c r="B87">
        <v>46163</v>
      </c>
      <c r="C87">
        <v>2000</v>
      </c>
      <c r="D87">
        <v>1</v>
      </c>
      <c r="E87">
        <f>C87*D87</f>
        <v>2000</v>
      </c>
      <c r="F87" t="str">
        <v xml:space="preserve"> Palengke:  Hipon</v>
      </c>
      <c r="G87" t="str">
        <v>Lunch/dinner</v>
      </c>
    </row>
    <row r="88">
      <c r="B88">
        <v>46163</v>
      </c>
      <c r="C88">
        <v>1600</v>
      </c>
      <c r="D88">
        <v>1</v>
      </c>
      <c r="E88">
        <f>C88*D88</f>
        <v>1600</v>
      </c>
      <c r="F88" t="str">
        <v>Palengke: Native Chicken</v>
      </c>
      <c r="G88" t="str">
        <v>Lunch/dinner</v>
      </c>
    </row>
    <row r="89">
      <c r="B89">
        <v>46163</v>
      </c>
      <c r="C89">
        <v>100</v>
      </c>
      <c r="D89">
        <v>1</v>
      </c>
      <c r="E89">
        <f>C89*D89</f>
        <v>100</v>
      </c>
      <c r="F89" t="str">
        <v>Palengke: Paminta</v>
      </c>
      <c r="G89" t="str">
        <v>Lunch/dinner</v>
      </c>
    </row>
    <row r="90">
      <c r="B90">
        <v>46163</v>
      </c>
      <c r="C90">
        <v>120</v>
      </c>
      <c r="D90">
        <v>1</v>
      </c>
      <c r="E90">
        <f>C90*D90</f>
        <v>120</v>
      </c>
      <c r="F90" t="str">
        <v>Palengke: Kalamansi</v>
      </c>
      <c r="G90" t="str">
        <v>Lunch/dinner</v>
      </c>
    </row>
    <row r="91">
      <c r="B91">
        <v>46163</v>
      </c>
      <c r="C91">
        <v>80</v>
      </c>
      <c r="D91">
        <v>1</v>
      </c>
      <c r="E91">
        <f>C91*D91</f>
        <v>80</v>
      </c>
      <c r="F91" t="str">
        <v>Palengke: Carrots</v>
      </c>
      <c r="G91" t="str">
        <v>Lunch/dinner</v>
      </c>
    </row>
    <row r="92">
      <c r="B92">
        <v>46163</v>
      </c>
      <c r="C92">
        <v>80</v>
      </c>
      <c r="D92">
        <v>1</v>
      </c>
      <c r="E92">
        <f>C92*D92</f>
        <v>80</v>
      </c>
      <c r="F92" t="str">
        <v>Palengke: Sibuyas</v>
      </c>
      <c r="G92" t="str">
        <v>Lunch/dinner</v>
      </c>
    </row>
    <row r="93">
      <c r="B93">
        <v>46163</v>
      </c>
      <c r="C93">
        <v>59</v>
      </c>
      <c r="D93">
        <v>1</v>
      </c>
      <c r="E93">
        <f>C93*D93</f>
        <v>59</v>
      </c>
      <c r="F93" t="str">
        <v>Palengke: luya</v>
      </c>
      <c r="G93" t="str">
        <v>Lunch/dinner</v>
      </c>
    </row>
    <row r="94">
      <c r="B94">
        <v>46163</v>
      </c>
      <c r="C94">
        <v>87</v>
      </c>
      <c r="D94">
        <v>1</v>
      </c>
      <c r="E94">
        <f>C94*D94</f>
        <v>87</v>
      </c>
      <c r="F94" t="str">
        <v>Palengke: Repolyo</v>
      </c>
      <c r="G94" t="str">
        <v>Lunch/dinner</v>
      </c>
    </row>
    <row r="95">
      <c r="B95">
        <v>46163</v>
      </c>
      <c r="C95">
        <v>65</v>
      </c>
      <c r="D95">
        <v>1</v>
      </c>
      <c r="E95">
        <f>C95*D95</f>
        <v>65</v>
      </c>
      <c r="F95" t="str">
        <v>Palengke: Patatas</v>
      </c>
      <c r="G95" t="str">
        <v>Lunch/dinner</v>
      </c>
    </row>
    <row r="96">
      <c r="B96">
        <v>46163</v>
      </c>
      <c r="C96">
        <v>114</v>
      </c>
      <c r="D96">
        <v>1</v>
      </c>
      <c r="E96">
        <f>C96*D96</f>
        <v>114</v>
      </c>
      <c r="F96" t="str">
        <v>Palengke: Lemon</v>
      </c>
      <c r="G96" t="str">
        <v>Lunch/dinner</v>
      </c>
    </row>
    <row r="97">
      <c r="B97">
        <v>46163</v>
      </c>
      <c r="C97">
        <v>40</v>
      </c>
      <c r="D97">
        <v>1</v>
      </c>
      <c r="E97">
        <f>C97*D97</f>
        <v>40</v>
      </c>
      <c r="F97" t="str">
        <v>Palengke: Dilaw</v>
      </c>
      <c r="G97" t="str">
        <v>Lunch/dinner</v>
      </c>
    </row>
    <row r="98">
      <c r="B98">
        <v>46163</v>
      </c>
      <c r="C98">
        <v>34</v>
      </c>
      <c r="D98">
        <v>1</v>
      </c>
      <c r="E98">
        <f>C98*D98</f>
        <v>34</v>
      </c>
      <c r="F98" t="str">
        <v>Palengke: Asin</v>
      </c>
      <c r="G98" t="str">
        <v>Lunch/dinner</v>
      </c>
    </row>
    <row r="99">
      <c r="B99">
        <v>46163</v>
      </c>
      <c r="C99">
        <v>227</v>
      </c>
      <c r="D99">
        <v>4</v>
      </c>
      <c r="E99">
        <f>C99*D99</f>
        <v>908</v>
      </c>
      <c r="F99" t="str">
        <v>Palengke: Fabcon</v>
      </c>
      <c r="G99" t="str">
        <v>Laundry</v>
      </c>
    </row>
    <row r="100">
      <c r="B100">
        <v>46163</v>
      </c>
      <c r="C100">
        <v>118</v>
      </c>
      <c r="D100">
        <v>1</v>
      </c>
      <c r="E100">
        <f>C100*D100</f>
        <v>118</v>
      </c>
      <c r="F100" t="str">
        <v>Palengke:Dishwashing</v>
      </c>
      <c r="G100" t="str">
        <v>Laundry</v>
      </c>
    </row>
    <row r="101">
      <c r="B101">
        <v>46163</v>
      </c>
      <c r="C101">
        <v>110</v>
      </c>
      <c r="D101">
        <v>10</v>
      </c>
      <c r="E101">
        <f>C101*D101</f>
        <v>1100</v>
      </c>
      <c r="F101" t="str">
        <v>Palengke:Luncheon meat</v>
      </c>
      <c r="G101" t="str">
        <v>breakfast</v>
      </c>
    </row>
    <row r="102">
      <c r="B102">
        <v>46163</v>
      </c>
      <c r="C102">
        <v>1300</v>
      </c>
      <c r="D102">
        <v>3</v>
      </c>
      <c r="E102">
        <f>C102*D102</f>
        <v>3900</v>
      </c>
      <c r="F102" t="str">
        <v>Palengke:Rice</v>
      </c>
      <c r="G102" t="str">
        <v>breakfast</v>
      </c>
    </row>
    <row r="103">
      <c r="B103">
        <v>46163</v>
      </c>
      <c r="C103">
        <v>250</v>
      </c>
      <c r="D103">
        <v>1</v>
      </c>
      <c r="E103">
        <f>C103*D103</f>
        <v>250</v>
      </c>
      <c r="F103" t="str">
        <v>Palengke:Banana</v>
      </c>
      <c r="G103" t="str">
        <v>breakfast</v>
      </c>
    </row>
    <row r="104">
      <c r="B104">
        <v>46163</v>
      </c>
      <c r="C104">
        <v>140</v>
      </c>
      <c r="D104">
        <v>1</v>
      </c>
      <c r="E104">
        <f>C104*D104</f>
        <v>140</v>
      </c>
      <c r="F104" t="str">
        <v>Palengke:Pakwan</v>
      </c>
      <c r="G104" t="str">
        <v>breakfast</v>
      </c>
      <c r="Z104" t="str">
        <v xml:space="preserve">     </v>
      </c>
    </row>
    <row r="105">
      <c r="B105">
        <v>46163</v>
      </c>
      <c r="C105">
        <v>240</v>
      </c>
      <c r="D105">
        <v>5</v>
      </c>
      <c r="E105">
        <f>C105*D105</f>
        <v>1200</v>
      </c>
      <c r="F105" t="str">
        <v>Palengke:Kapak</v>
      </c>
      <c r="G105" t="str">
        <v>breakfast</v>
      </c>
    </row>
    <row r="106">
      <c r="B106">
        <v>46163</v>
      </c>
      <c r="C106">
        <v>380</v>
      </c>
      <c r="D106">
        <v>3</v>
      </c>
      <c r="E106">
        <f>C106*D106</f>
        <v>1140</v>
      </c>
      <c r="F106" t="str">
        <v>Palengke:Gigi</v>
      </c>
      <c r="G106" t="str">
        <v>breakfast</v>
      </c>
    </row>
    <row r="107">
      <c r="B107">
        <v>46163</v>
      </c>
      <c r="C107">
        <v>240</v>
      </c>
      <c r="D107">
        <v>3</v>
      </c>
      <c r="E107">
        <f>C107*D107</f>
        <v>720</v>
      </c>
      <c r="F107" t="str">
        <v>Palengke:Daing</v>
      </c>
      <c r="G107" t="str">
        <v>breakfast</v>
      </c>
    </row>
    <row r="108">
      <c r="B108">
        <v>46163</v>
      </c>
      <c r="C108">
        <v>58</v>
      </c>
      <c r="D108">
        <v>1</v>
      </c>
      <c r="E108">
        <f>C108*D108</f>
        <v>58</v>
      </c>
      <c r="F108" t="str">
        <v>Palengke:Leaks</v>
      </c>
      <c r="G108" t="str">
        <v>breakfast</v>
      </c>
    </row>
    <row r="109">
      <c r="B109">
        <v>46163</v>
      </c>
      <c r="C109">
        <v>25</v>
      </c>
      <c r="D109">
        <v>1</v>
      </c>
      <c r="E109">
        <f>C109*D109</f>
        <v>25</v>
      </c>
      <c r="F109" t="str">
        <v>Palengke:bagoong</v>
      </c>
      <c r="G109" t="str">
        <v>breakfast</v>
      </c>
      <c r="H109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">
      <c r="B110">
        <v>46163</v>
      </c>
      <c r="C110">
        <v>120</v>
      </c>
      <c r="D110">
        <v>1</v>
      </c>
      <c r="E110">
        <f>C110*D110</f>
        <v>120</v>
      </c>
      <c r="F110" t="str">
        <v>Palengke:okra</v>
      </c>
      <c r="G110" t="str">
        <v>breakfast</v>
      </c>
    </row>
    <row r="111">
      <c r="B111">
        <v>46163</v>
      </c>
      <c r="C111">
        <v>82</v>
      </c>
      <c r="D111">
        <v>1</v>
      </c>
      <c r="E111">
        <f>C111*D111</f>
        <v>82</v>
      </c>
      <c r="F111" t="str">
        <v>Palengke:Talong</v>
      </c>
      <c r="G111" t="str">
        <v>breakfast</v>
      </c>
    </row>
    <row r="112">
      <c r="B112">
        <v>46163</v>
      </c>
      <c r="C112">
        <v>43</v>
      </c>
      <c r="D112">
        <v>1</v>
      </c>
      <c r="E112">
        <f>C112*D112</f>
        <v>43</v>
      </c>
      <c r="F112" t="str">
        <v>Palengke:Labanos</v>
      </c>
      <c r="G112" t="str">
        <v>breakfast</v>
      </c>
    </row>
    <row r="113">
      <c r="B113">
        <v>46163</v>
      </c>
      <c r="C113">
        <v>48</v>
      </c>
      <c r="D113">
        <v>1</v>
      </c>
      <c r="E113">
        <f>C113*D113</f>
        <v>48</v>
      </c>
      <c r="F113" t="str">
        <v>Palengke:Kamatis</v>
      </c>
      <c r="G113" t="str">
        <v>breakfast</v>
      </c>
    </row>
    <row r="114">
      <c r="B114">
        <v>46163</v>
      </c>
      <c r="C114">
        <v>68</v>
      </c>
      <c r="D114">
        <v>1</v>
      </c>
      <c r="E114">
        <f>C114*D114</f>
        <v>68</v>
      </c>
      <c r="F114" t="str">
        <v>Palengke:Pipino</v>
      </c>
      <c r="G114" t="str">
        <v>breakfast</v>
      </c>
    </row>
    <row r="115">
      <c r="B115">
        <v>46163</v>
      </c>
      <c r="C115">
        <v>82.5</v>
      </c>
      <c r="D115">
        <v>1</v>
      </c>
      <c r="E115">
        <f>C115*D115</f>
        <v>82.5</v>
      </c>
      <c r="F115" t="str">
        <v>Puregold: Zonrox 2 Gal</v>
      </c>
      <c r="G115" t="str">
        <v>laundry</v>
      </c>
    </row>
    <row r="116">
      <c r="B116">
        <v>46163</v>
      </c>
      <c r="C116">
        <v>151.5</v>
      </c>
      <c r="D116">
        <v>1</v>
      </c>
      <c r="E116">
        <f>C116*D116</f>
        <v>151.5</v>
      </c>
      <c r="F116" t="str">
        <v>Puregold:Zonrox 1G</v>
      </c>
      <c r="G116" t="str">
        <v>laundry</v>
      </c>
    </row>
    <row r="117">
      <c r="B117">
        <v>46163</v>
      </c>
      <c r="C117">
        <v>200</v>
      </c>
      <c r="D117">
        <v>5</v>
      </c>
      <c r="E117">
        <f>C117*D117</f>
        <v>1000</v>
      </c>
      <c r="F117" t="str">
        <v>Puregold:Champion powder</v>
      </c>
      <c r="G117" t="str">
        <v>laundry</v>
      </c>
    </row>
    <row r="118">
      <c r="B118">
        <v>46163</v>
      </c>
      <c r="C118">
        <v>192</v>
      </c>
      <c r="D118">
        <v>1</v>
      </c>
      <c r="E118">
        <f>C118*D118</f>
        <v>192</v>
      </c>
      <c r="F118" t="str">
        <v>Puregold:Laysol</v>
      </c>
      <c r="G118" t="str">
        <v>cleaning</v>
      </c>
    </row>
    <row r="119">
      <c r="B119">
        <v>46163</v>
      </c>
      <c r="C119">
        <v>74.5</v>
      </c>
      <c r="D119">
        <v>2</v>
      </c>
      <c r="E119">
        <f>C119*D119</f>
        <v>149</v>
      </c>
      <c r="F119" t="str">
        <v xml:space="preserve">Puregold:Zonrox </v>
      </c>
      <c r="G119" t="str">
        <v>laundry</v>
      </c>
    </row>
    <row r="120">
      <c r="B120">
        <v>46163</v>
      </c>
      <c r="C120">
        <v>89</v>
      </c>
      <c r="D120">
        <v>2</v>
      </c>
      <c r="E120">
        <f>C120*D120</f>
        <v>178</v>
      </c>
      <c r="F120" t="str">
        <v>Puregold:Laysol</v>
      </c>
      <c r="G120" t="str">
        <v>cleaning</v>
      </c>
    </row>
    <row r="121">
      <c r="B121">
        <v>46163</v>
      </c>
      <c r="C121">
        <v>478</v>
      </c>
      <c r="D121">
        <v>1</v>
      </c>
      <c r="E121">
        <f>C121*D121</f>
        <v>478</v>
      </c>
      <c r="F121" t="str">
        <v>Puregold:Laysol</v>
      </c>
      <c r="G121" t="str">
        <v>cleaning</v>
      </c>
    </row>
    <row r="122">
      <c r="B122">
        <v>46163</v>
      </c>
      <c r="C122">
        <v>109</v>
      </c>
      <c r="D122">
        <v>1</v>
      </c>
      <c r="E122">
        <f>C122*D122</f>
        <v>109</v>
      </c>
      <c r="F122" t="str">
        <v>Puregold:Corn dtarch</v>
      </c>
      <c r="G122" t="str">
        <v>breakfast</v>
      </c>
    </row>
    <row r="123">
      <c r="B123">
        <v>46163</v>
      </c>
      <c r="C123">
        <v>104</v>
      </c>
      <c r="D123">
        <v>1</v>
      </c>
      <c r="E123">
        <f>C123*D123</f>
        <v>104</v>
      </c>
      <c r="F123" t="str">
        <v>Puregold:Selecta Milk</v>
      </c>
      <c r="G123" t="str">
        <v>breakfast</v>
      </c>
    </row>
    <row r="124">
      <c r="B124">
        <v>46163</v>
      </c>
      <c r="C124">
        <v>118.25</v>
      </c>
      <c r="D124">
        <v>6</v>
      </c>
      <c r="E124">
        <f>C124*D124</f>
        <v>709.5</v>
      </c>
      <c r="F124" t="str">
        <v>Puregold:Coffee mate</v>
      </c>
      <c r="G124" t="str">
        <v>breakfast</v>
      </c>
    </row>
    <row r="125">
      <c r="B125">
        <v>46163</v>
      </c>
      <c r="C125">
        <v>161.75</v>
      </c>
      <c r="D125">
        <v>1</v>
      </c>
      <c r="E125">
        <f>C125*D125</f>
        <v>161.75</v>
      </c>
      <c r="F125" t="str">
        <v>Puregold:Vinegar</v>
      </c>
      <c r="G125" t="str">
        <v>breakfast</v>
      </c>
    </row>
    <row r="126">
      <c r="B126">
        <v>46163</v>
      </c>
      <c r="C126">
        <v>28.5</v>
      </c>
      <c r="D126">
        <v>4</v>
      </c>
      <c r="E126">
        <f>C126*D126</f>
        <v>114</v>
      </c>
      <c r="F126" t="str">
        <v>Puregold:Ketchup</v>
      </c>
      <c r="G126" t="str">
        <v>breakfast</v>
      </c>
    </row>
    <row r="127">
      <c r="B127">
        <v>46163</v>
      </c>
      <c r="C127">
        <v>76</v>
      </c>
      <c r="D127">
        <v>4</v>
      </c>
      <c r="E127">
        <f>C127*D127</f>
        <v>304</v>
      </c>
      <c r="F127" t="str">
        <v>Puregold:Sugar</v>
      </c>
      <c r="G127" t="str">
        <v>breakfast</v>
      </c>
    </row>
    <row r="128">
      <c r="B128">
        <v>46163</v>
      </c>
      <c r="C128">
        <v>190</v>
      </c>
      <c r="D128">
        <v>2</v>
      </c>
      <c r="E128">
        <f>C128*D128</f>
        <v>380</v>
      </c>
      <c r="F128" t="str">
        <v>Puregold:Milo</v>
      </c>
      <c r="G128" t="str">
        <v>breakfast</v>
      </c>
    </row>
    <row r="129">
      <c r="B129">
        <v>46163</v>
      </c>
      <c r="C129">
        <v>20.5</v>
      </c>
      <c r="D129">
        <v>19</v>
      </c>
      <c r="E129">
        <f>C129*D129</f>
        <v>389.5</v>
      </c>
      <c r="F129" t="str">
        <v>Puregold:Scrub</v>
      </c>
      <c r="G129" t="str">
        <v>breakfast</v>
      </c>
    </row>
    <row r="130">
      <c r="B130">
        <v>46163</v>
      </c>
      <c r="C130">
        <v>104</v>
      </c>
      <c r="D130">
        <v>2</v>
      </c>
      <c r="E130">
        <f>C130*D130</f>
        <v>208</v>
      </c>
      <c r="F130" t="str">
        <v>Puregold:SPonge</v>
      </c>
      <c r="G130" t="str">
        <v>breakfast</v>
      </c>
    </row>
    <row r="131">
      <c r="B131">
        <v>46163</v>
      </c>
      <c r="C131">
        <v>96.9</v>
      </c>
      <c r="D131">
        <v>1</v>
      </c>
      <c r="E131">
        <f>C131*D131</f>
        <v>96.9</v>
      </c>
      <c r="F131" t="str">
        <v>Puregold:Knor seasoning</v>
      </c>
      <c r="G131" t="str">
        <v>breakfast</v>
      </c>
    </row>
    <row r="132">
      <c r="B132">
        <v>46163</v>
      </c>
      <c r="C132">
        <v>18.9</v>
      </c>
      <c r="D132">
        <v>20</v>
      </c>
      <c r="E132">
        <f>C132*D132</f>
        <v>378</v>
      </c>
      <c r="F132" t="str">
        <v>Puregold:Nestea Lemon</v>
      </c>
      <c r="G132" t="str">
        <v>breakfast</v>
      </c>
    </row>
    <row r="133">
      <c r="B133">
        <v>46163</v>
      </c>
      <c r="C133">
        <v>18.8</v>
      </c>
      <c r="D133">
        <v>24</v>
      </c>
      <c r="E133">
        <f>C133*D133</f>
        <v>451.2</v>
      </c>
      <c r="F133" t="str">
        <v>Puregold:Tang dalandan</v>
      </c>
      <c r="G133" t="str">
        <v>breakfast</v>
      </c>
    </row>
    <row r="134">
      <c r="B134">
        <v>46163</v>
      </c>
      <c r="C134">
        <v>34.5</v>
      </c>
      <c r="D134">
        <v>4</v>
      </c>
      <c r="E134">
        <f>C134*D134</f>
        <v>138</v>
      </c>
      <c r="F134" t="str">
        <v>Puregold:Knor shrimp</v>
      </c>
      <c r="G134" t="str">
        <v>breakfast</v>
      </c>
    </row>
    <row r="135">
      <c r="B135">
        <v>46163</v>
      </c>
      <c r="C135">
        <v>34.5</v>
      </c>
      <c r="D135">
        <v>4</v>
      </c>
      <c r="E135">
        <f>C135*D135</f>
        <v>138</v>
      </c>
      <c r="F135" t="str">
        <v>Puregold:Knor chicken</v>
      </c>
      <c r="G135" t="str">
        <v>breakfast</v>
      </c>
    </row>
    <row r="136">
      <c r="B136">
        <v>46163</v>
      </c>
      <c r="C136">
        <v>60</v>
      </c>
      <c r="D136">
        <v>1</v>
      </c>
      <c r="E136">
        <f>C136*D136</f>
        <v>60</v>
      </c>
      <c r="F136" t="str">
        <v>Puregold:Knor pork</v>
      </c>
      <c r="G136" t="str">
        <v>breakfast</v>
      </c>
    </row>
    <row r="137">
      <c r="B137">
        <v>46163</v>
      </c>
      <c r="C137">
        <v>208</v>
      </c>
      <c r="D137">
        <v>2</v>
      </c>
      <c r="E137">
        <f>C137*D137</f>
        <v>416</v>
      </c>
      <c r="F137" t="str">
        <v>Puregold:Tender juicy</v>
      </c>
      <c r="G137" t="str">
        <v>breakfast</v>
      </c>
    </row>
    <row r="138">
      <c r="B138">
        <v>46163</v>
      </c>
      <c r="C138">
        <v>92</v>
      </c>
      <c r="D138">
        <v>4</v>
      </c>
      <c r="E138">
        <f>C138*D138</f>
        <v>368</v>
      </c>
      <c r="F138" t="str">
        <v>Puregold:Butter</v>
      </c>
      <c r="G138" t="str">
        <v>breakfast</v>
      </c>
    </row>
    <row r="139">
      <c r="B139">
        <v>46163</v>
      </c>
      <c r="C139">
        <v>49</v>
      </c>
      <c r="D139">
        <v>2</v>
      </c>
      <c r="E139">
        <f>C139*D139</f>
        <v>98</v>
      </c>
      <c r="F139" t="str">
        <v>Puregold:Butter cup</v>
      </c>
      <c r="G139" t="str">
        <v>breakfast</v>
      </c>
    </row>
    <row r="140">
      <c r="B140">
        <v>46163</v>
      </c>
      <c r="C140">
        <v>2300</v>
      </c>
      <c r="D140">
        <v>1</v>
      </c>
      <c r="E140">
        <f>C140*D140</f>
        <v>2300</v>
      </c>
      <c r="F140" t="str">
        <v>Puregold:Oil</v>
      </c>
      <c r="G140" t="str">
        <v>breakfast</v>
      </c>
    </row>
    <row r="141">
      <c r="B141">
        <v>46163</v>
      </c>
      <c r="C141">
        <v>3750</v>
      </c>
      <c r="D141">
        <v>1</v>
      </c>
      <c r="E141">
        <f>C141*D141</f>
        <v>3750</v>
      </c>
      <c r="F141" t="str">
        <v>Mr. Quikie: Key duplicate</v>
      </c>
      <c r="G141" t="str">
        <v>repair</v>
      </c>
    </row>
    <row r="142">
      <c r="B142">
        <v>46163</v>
      </c>
      <c r="C142">
        <v>1000</v>
      </c>
      <c r="D142">
        <v>1</v>
      </c>
      <c r="E142">
        <f>C142*D142</f>
        <v>1000</v>
      </c>
      <c r="F142" t="str">
        <v>Transpo: Vise Versa</v>
      </c>
      <c r="G142" t="str">
        <v>Transpo</v>
      </c>
    </row>
    <row r="143">
      <c r="B143">
        <v>46164</v>
      </c>
      <c r="C143">
        <v>18</v>
      </c>
      <c r="D143">
        <v>1</v>
      </c>
      <c r="E143">
        <f>C143*D143</f>
        <v>18</v>
      </c>
      <c r="F143" t="str">
        <v>Joy Sari Sari Store:Magic</v>
      </c>
      <c r="G143" t="str">
        <v>staff meals</v>
      </c>
    </row>
    <row r="144">
      <c r="B144">
        <v>46164</v>
      </c>
      <c r="C144">
        <v>16</v>
      </c>
      <c r="D144">
        <v>1</v>
      </c>
      <c r="E144">
        <f>C144*D144</f>
        <v>16</v>
      </c>
      <c r="F144" t="str">
        <v>Joy Sari Sari Store:Bawang</v>
      </c>
      <c r="G144" t="str">
        <v>staff meals</v>
      </c>
    </row>
    <row r="145">
      <c r="B145">
        <v>46164</v>
      </c>
      <c r="C145">
        <v>29</v>
      </c>
      <c r="D145">
        <v>1</v>
      </c>
      <c r="E145">
        <f>C145*D145</f>
        <v>29</v>
      </c>
      <c r="F145" t="str">
        <v>Joy Sari Sari Store:Payless</v>
      </c>
      <c r="G145" t="str">
        <v>staff meals</v>
      </c>
    </row>
    <row r="146">
      <c r="B146">
        <v>46165</v>
      </c>
      <c r="C146">
        <v>100</v>
      </c>
      <c r="D146">
        <v>1</v>
      </c>
      <c r="E146">
        <f>C146*D146</f>
        <v>100</v>
      </c>
      <c r="F146" t="str">
        <v>Joy Sari Sari Store:okra</v>
      </c>
      <c r="G146" t="str">
        <v>breakfast</v>
      </c>
    </row>
    <row r="147">
      <c r="B147">
        <v>46165</v>
      </c>
      <c r="C147">
        <v>160</v>
      </c>
      <c r="D147">
        <v>1</v>
      </c>
      <c r="E147">
        <f>C147*D147</f>
        <v>160</v>
      </c>
      <c r="F147" t="str">
        <v>Joy Sari Sari Store:Talong</v>
      </c>
      <c r="G147" t="str">
        <v>breakfast</v>
      </c>
    </row>
    <row r="148">
      <c r="B148">
        <v>46165</v>
      </c>
      <c r="C148">
        <v>560</v>
      </c>
      <c r="D148">
        <v>1</v>
      </c>
      <c r="E148">
        <f>C148*D148</f>
        <v>560</v>
      </c>
      <c r="F148" t="str">
        <v xml:space="preserve">Joy Sari Sari Store:Lakatan </v>
      </c>
      <c r="G148" t="str">
        <v>breakfast</v>
      </c>
    </row>
    <row r="149">
      <c r="B149">
        <v>46166</v>
      </c>
      <c r="C149">
        <v>65</v>
      </c>
      <c r="D149">
        <v>2</v>
      </c>
      <c r="E149">
        <f>C149*D149</f>
        <v>130</v>
      </c>
      <c r="F149" t="str">
        <v>Joy Sari Sari Store:Kamatis</v>
      </c>
      <c r="G149" t="str">
        <v>breakfast</v>
      </c>
    </row>
    <row r="150">
      <c r="B150">
        <v>46166</v>
      </c>
      <c r="C150">
        <v>125</v>
      </c>
      <c r="D150">
        <v>2</v>
      </c>
      <c r="E150">
        <f>C150*D150</f>
        <v>250</v>
      </c>
      <c r="F150" t="str">
        <v>Joy Sari Sari Store:Ampalaya</v>
      </c>
      <c r="G150" t="str">
        <v>breakfast</v>
      </c>
    </row>
    <row r="151">
      <c r="B151">
        <v>46166</v>
      </c>
      <c r="C151">
        <v>100</v>
      </c>
      <c r="D151">
        <v>1</v>
      </c>
      <c r="E151">
        <f>C151*D151</f>
        <v>100</v>
      </c>
      <c r="F151" t="str">
        <v>Joy Sari Sari Store:okra</v>
      </c>
      <c r="G151" t="str">
        <v>breakfast</v>
      </c>
    </row>
    <row r="152">
      <c r="B152">
        <v>46166</v>
      </c>
      <c r="C152">
        <v>852</v>
      </c>
      <c r="D152">
        <v>1</v>
      </c>
      <c r="E152">
        <f>C152*D152</f>
        <v>852</v>
      </c>
      <c r="F152" t="str">
        <v xml:space="preserve">Joy Sari Sari Store:Lakatan </v>
      </c>
      <c r="G152" t="str">
        <v>breakfast</v>
      </c>
    </row>
    <row r="153">
      <c r="B153">
        <v>46166</v>
      </c>
      <c r="C153">
        <f>555/2</f>
        <v>277.5</v>
      </c>
      <c r="D153">
        <v>2</v>
      </c>
      <c r="E153">
        <f>C153*D153</f>
        <v>555</v>
      </c>
      <c r="F153" t="str">
        <v>Joy Sari Sari Store:Chicken</v>
      </c>
      <c r="G153" t="str">
        <v>staff meals</v>
      </c>
    </row>
    <row r="154">
      <c r="B154">
        <v>46166</v>
      </c>
      <c r="C154">
        <v>30</v>
      </c>
      <c r="D154">
        <v>2</v>
      </c>
      <c r="E154">
        <f>C154*D154</f>
        <v>60</v>
      </c>
      <c r="F154" t="str">
        <v>Joy Sari Sari Store:Gulay</v>
      </c>
      <c r="G154" t="str">
        <v>staff meals</v>
      </c>
    </row>
    <row r="155">
      <c r="B155">
        <v>46166</v>
      </c>
      <c r="C155">
        <v>15</v>
      </c>
      <c r="D155">
        <v>2</v>
      </c>
      <c r="E155">
        <f>C155*D155</f>
        <v>30</v>
      </c>
      <c r="F155" t="str">
        <v>Joy Sari Sari Store:Petchay</v>
      </c>
      <c r="G155" t="str">
        <v>staff meals</v>
      </c>
    </row>
    <row r="156">
      <c r="B156">
        <v>46166</v>
      </c>
      <c r="C156">
        <v>20</v>
      </c>
      <c r="D156">
        <v>1</v>
      </c>
      <c r="E156">
        <f>C156*D156</f>
        <v>20</v>
      </c>
      <c r="F156" t="str">
        <v>Joy Sari Sari Store:Sinigang mix</v>
      </c>
      <c r="G156" t="str">
        <v>staff meals</v>
      </c>
    </row>
    <row r="157">
      <c r="B157">
        <v>46166</v>
      </c>
      <c r="C157">
        <v>400</v>
      </c>
      <c r="D157">
        <v>1</v>
      </c>
      <c r="E157">
        <f>C157*D157</f>
        <v>400</v>
      </c>
      <c r="F157" t="str">
        <v>Dionys: Pandesal</v>
      </c>
      <c r="G157" t="str">
        <v>Breakfast</v>
      </c>
    </row>
    <row r="158">
      <c r="B158">
        <v>46168</v>
      </c>
      <c r="C158">
        <v>795</v>
      </c>
      <c r="D158">
        <v>2</v>
      </c>
      <c r="E158">
        <f>C158*D158</f>
        <v>1590</v>
      </c>
      <c r="F158" t="str">
        <v>landmark: tornado mop medium</v>
      </c>
      <c r="G158" t="str">
        <v>cleaning</v>
      </c>
    </row>
    <row r="159">
      <c r="B159">
        <v>46168</v>
      </c>
      <c r="C159">
        <v>1100</v>
      </c>
      <c r="D159">
        <v>2</v>
      </c>
      <c r="E159">
        <f>C159*D159</f>
        <v>2200</v>
      </c>
      <c r="F159" t="str">
        <v>landmark: flat mop slim</v>
      </c>
      <c r="G159" t="str">
        <v>cleaning</v>
      </c>
    </row>
    <row r="160">
      <c r="B160">
        <v>46168</v>
      </c>
      <c r="C160">
        <v>100</v>
      </c>
      <c r="D160">
        <v>1</v>
      </c>
      <c r="E160">
        <f>C160*D160</f>
        <v>100</v>
      </c>
      <c r="F160" t="str">
        <v>landmark: flat mop refill</v>
      </c>
      <c r="G160" t="str">
        <v>cleaning</v>
      </c>
    </row>
    <row r="161">
      <c r="B161">
        <v>46168</v>
      </c>
      <c r="C161">
        <v>109.75</v>
      </c>
      <c r="D161">
        <v>10</v>
      </c>
      <c r="E161">
        <f>C161*D161</f>
        <v>1097.5</v>
      </c>
      <c r="F161" t="str">
        <v>landmark: margarita glasses acrylic</v>
      </c>
      <c r="G161" t="str">
        <v>kitchen</v>
      </c>
    </row>
    <row r="162">
      <c r="B162">
        <v>46168</v>
      </c>
      <c r="C162">
        <v>59.75</v>
      </c>
      <c r="D162">
        <v>6</v>
      </c>
      <c r="E162">
        <f>C162*D162</f>
        <v>358.5</v>
      </c>
      <c r="F162" t="str">
        <v>landmark: glasses acrylic 14oz</v>
      </c>
      <c r="G162" t="str">
        <v>kitchen</v>
      </c>
    </row>
    <row r="163">
      <c r="B163">
        <v>46168</v>
      </c>
      <c r="C163">
        <v>69.75</v>
      </c>
      <c r="D163">
        <v>4</v>
      </c>
      <c r="E163">
        <f>C163*D163</f>
        <v>279</v>
      </c>
      <c r="F163" t="str">
        <v>landmark: glasses acrylic 16oz</v>
      </c>
      <c r="G163" t="str">
        <v>kitchen</v>
      </c>
    </row>
    <row r="164">
      <c r="B164">
        <v>46168</v>
      </c>
      <c r="C164">
        <v>59.75</v>
      </c>
      <c r="D164">
        <v>6</v>
      </c>
      <c r="E164">
        <f>C164*D164</f>
        <v>358.5</v>
      </c>
      <c r="F164" t="str">
        <v>landmark: glasses acrylic 12oz</v>
      </c>
      <c r="G164" t="str">
        <v>kitchen</v>
      </c>
    </row>
    <row r="165">
      <c r="B165">
        <v>46166</v>
      </c>
      <c r="C165">
        <v>99</v>
      </c>
      <c r="D165">
        <v>6</v>
      </c>
      <c r="E165">
        <f>C165*D165</f>
        <v>594</v>
      </c>
      <c r="F165" t="str">
        <v>ikea: bath mat fintsen beige 40x60</v>
      </c>
      <c r="G165" t="str">
        <v>linens/towels</v>
      </c>
    </row>
    <row r="166">
      <c r="B166">
        <v>46166</v>
      </c>
      <c r="C166">
        <v>129</v>
      </c>
      <c r="D166">
        <v>6</v>
      </c>
      <c r="E166">
        <f>C166*D166</f>
        <v>774</v>
      </c>
      <c r="F166" t="str">
        <v>ikea: rug flatwoven tiphede 50x80 for house kitchen</v>
      </c>
      <c r="G166" t="str">
        <v>linens/towels</v>
      </c>
    </row>
    <row r="167">
      <c r="B167">
        <v>46166</v>
      </c>
      <c r="C167">
        <v>79</v>
      </c>
      <c r="D167">
        <v>5</v>
      </c>
      <c r="E167">
        <f>C167*D167</f>
        <v>395</v>
      </c>
      <c r="F167" t="str">
        <v>ikea: black hangers 10pcs per pack</v>
      </c>
      <c r="G167" t="str">
        <v>linens/towels</v>
      </c>
    </row>
    <row r="168">
      <c r="B168">
        <v>46166</v>
      </c>
      <c r="C168">
        <v>39</v>
      </c>
      <c r="D168">
        <v>12</v>
      </c>
      <c r="E168">
        <f>C168*D168</f>
        <v>468</v>
      </c>
      <c r="F168" t="str">
        <v>ikea: soap dispenser white tackan</v>
      </c>
      <c r="G168" t="str">
        <v>linens/towels</v>
      </c>
    </row>
    <row r="169">
      <c r="B169">
        <v>46171</v>
      </c>
      <c r="C169">
        <v>5000</v>
      </c>
      <c r="D169">
        <v>1</v>
      </c>
      <c r="E169">
        <f>C169*D169</f>
        <v>5000</v>
      </c>
      <c r="F169" t="str">
        <v>NDF AND SONS CORP.: Generator Diesel</v>
      </c>
      <c r="G169" t="str">
        <v>Genset</v>
      </c>
    </row>
    <row r="170">
      <c r="B170">
        <v>46171</v>
      </c>
      <c r="C170">
        <v>2650</v>
      </c>
      <c r="D170">
        <v>1</v>
      </c>
      <c r="E170">
        <f>C170*D170</f>
        <v>2650</v>
      </c>
      <c r="F170" t="str">
        <v xml:space="preserve">Mhikes Elecronic Repair Center: Microwave </v>
      </c>
      <c r="G170" t="str">
        <v>repair</v>
      </c>
    </row>
    <row r="171">
      <c r="B171">
        <v>46171</v>
      </c>
      <c r="C171">
        <v>194.75</v>
      </c>
      <c r="D171">
        <v>3</v>
      </c>
      <c r="E171">
        <f>C171*D171</f>
        <v>584.25</v>
      </c>
      <c r="F171" t="str">
        <v>Savemore: Lysol</v>
      </c>
      <c r="G171" t="str">
        <v>cleaning</v>
      </c>
    </row>
    <row r="172">
      <c r="B172">
        <v>46171</v>
      </c>
      <c r="C172">
        <v>85</v>
      </c>
      <c r="D172">
        <v>1</v>
      </c>
      <c r="E172">
        <f>C172*D172</f>
        <v>85</v>
      </c>
      <c r="F172" t="str">
        <v>Lyndelle Agro Industrial Saales: Plug</v>
      </c>
      <c r="G172" t="str">
        <v>repair</v>
      </c>
    </row>
    <row r="173">
      <c r="B173">
        <v>46171</v>
      </c>
      <c r="C173">
        <v>285</v>
      </c>
      <c r="D173">
        <v>1</v>
      </c>
      <c r="E173">
        <f>C173*D173</f>
        <v>285</v>
      </c>
      <c r="F173" t="str">
        <v>Vercons: rope</v>
      </c>
      <c r="G173" t="str">
        <v>repair</v>
      </c>
    </row>
    <row r="174">
      <c r="E174">
        <f>C174*D174</f>
        <v>0</v>
      </c>
    </row>
    <row r="175">
      <c r="E175">
        <f>C175*D175</f>
        <v>0</v>
      </c>
    </row>
    <row r="176">
      <c r="E176">
        <f>C176*D176</f>
        <v>0</v>
      </c>
    </row>
    <row r="177">
      <c r="E177">
        <f>C177*D177</f>
        <v>0</v>
      </c>
    </row>
    <row r="178">
      <c r="E178">
        <f>C178*D178</f>
        <v>0</v>
      </c>
    </row>
    <row r="179">
      <c r="E179">
        <f>C179*D179</f>
        <v>0</v>
      </c>
    </row>
    <row r="180">
      <c r="E180">
        <f>C180*D180</f>
        <v>0</v>
      </c>
    </row>
    <row r="181">
      <c r="E181">
        <f>C181*D181</f>
        <v>0</v>
      </c>
    </row>
    <row r="182">
      <c r="E182">
        <f>C182*D182</f>
        <v>0</v>
      </c>
    </row>
    <row r="183">
      <c r="E183">
        <f>C183*D183</f>
        <v>0</v>
      </c>
    </row>
    <row r="184">
      <c r="E184">
        <f>C184*D184</f>
        <v>0</v>
      </c>
    </row>
    <row r="185">
      <c r="E185">
        <f>C185*D185</f>
        <v>0</v>
      </c>
    </row>
    <row r="186">
      <c r="E186">
        <f>C186*D186</f>
        <v>0</v>
      </c>
    </row>
    <row r="187">
      <c r="E187">
        <f>C187*D187</f>
        <v>0</v>
      </c>
    </row>
    <row r="188">
      <c r="E188">
        <f>C188*D188</f>
        <v>0</v>
      </c>
    </row>
    <row r="189">
      <c r="E189">
        <f>C189*D189</f>
        <v>0</v>
      </c>
    </row>
    <row r="190">
      <c r="E190">
        <f>C190*D190</f>
        <v>0</v>
      </c>
    </row>
    <row r="191">
      <c r="E191">
        <f>C191*D191</f>
        <v>0</v>
      </c>
    </row>
    <row r="192">
      <c r="E192">
        <f>C192*D192</f>
        <v>0</v>
      </c>
    </row>
    <row r="193">
      <c r="E193">
        <f>C193*D193</f>
        <v>0</v>
      </c>
    </row>
    <row r="194">
      <c r="E194">
        <f>C194*D194</f>
        <v>0</v>
      </c>
    </row>
    <row r="195">
      <c r="E195">
        <f>C195*D195</f>
        <v>0</v>
      </c>
    </row>
    <row r="196">
      <c r="E196">
        <f>C196*D196</f>
        <v>0</v>
      </c>
    </row>
    <row r="197">
      <c r="E197">
        <f>C197*D197</f>
        <v>0</v>
      </c>
    </row>
    <row r="198">
      <c r="E198">
        <f>C198*D198</f>
        <v>0</v>
      </c>
    </row>
    <row r="199">
      <c r="E199">
        <f>C199*D199</f>
        <v>0</v>
      </c>
    </row>
    <row r="200">
      <c r="E200">
        <f>C200*D200</f>
        <v>0</v>
      </c>
    </row>
    <row r="201">
      <c r="E201">
        <f>C201*D201</f>
        <v>0</v>
      </c>
    </row>
    <row r="202">
      <c r="E202">
        <f>C202*D202</f>
        <v>0</v>
      </c>
    </row>
    <row r="203">
      <c r="E203">
        <f>C203*D203</f>
        <v>0</v>
      </c>
    </row>
    <row r="204">
      <c r="E204">
        <f>C204*D204</f>
        <v>0</v>
      </c>
    </row>
    <row r="205">
      <c r="E205">
        <f>C205*D205</f>
        <v>0</v>
      </c>
    </row>
    <row r="206">
      <c r="E206">
        <f>C206*D206</f>
        <v>0</v>
      </c>
    </row>
  </sheetData>
  <pageMargins left="0.7" right="0.7" top="0.75" bottom="0.75" header="0" footer="0"/>
  <ignoredErrors>
    <ignoredError numberStoredAsText="1" sqref="A1:Z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analysisof15dayreimbursement</vt:lpstr>
      <vt:lpstr>January</vt:lpstr>
      <vt:lpstr>February</vt:lpstr>
      <vt:lpstr>March</vt:lpstr>
      <vt:lpstr>April</vt:lpstr>
      <vt:lpstr>May.</vt:lpstr>
      <vt:lpstr>forrecon</vt:lpstr>
      <vt:lpstr>pcfliquidationreport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2024-02-15T00:44:36Z</dcterms:created>
  <dc:creator>Zee Zamora Perez</dc:creator>
</cp:coreProperties>
</file>